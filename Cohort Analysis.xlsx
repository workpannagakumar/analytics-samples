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f388541f059112/Dokumen/"/>
    </mc:Choice>
  </mc:AlternateContent>
  <xr:revisionPtr revIDLastSave="636" documentId="8_{106B719D-2394-4072-9044-EEC919EA9780}" xr6:coauthVersionLast="47" xr6:coauthVersionMax="47" xr10:uidLastSave="{A0AFA138-4C6A-4438-8025-D6C6635BBBAF}"/>
  <bookViews>
    <workbookView xWindow="-108" yWindow="-108" windowWidth="23256" windowHeight="12456" xr2:uid="{5FCA89DB-7D8A-4A48-889F-1700F7E9527C}"/>
  </bookViews>
  <sheets>
    <sheet name="Acquisition Based" sheetId="1" r:id="rId1"/>
    <sheet name="Behavioural Based" sheetId="4" r:id="rId2"/>
  </sheets>
  <definedNames>
    <definedName name="_xlnm._FilterDatabase" localSheetId="1" hidden="1">'Behavioural Based'!$A$1:$J$51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O8" i="4"/>
  <c r="O9" i="4"/>
  <c r="O7" i="4"/>
  <c r="N8" i="4"/>
  <c r="N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I3" i="4"/>
  <c r="J3" i="4" s="1"/>
  <c r="I4" i="4"/>
  <c r="J4" i="4" s="1"/>
  <c r="I5" i="4"/>
  <c r="I6" i="4"/>
  <c r="I7" i="4"/>
  <c r="J7" i="4" s="1"/>
  <c r="I8" i="4"/>
  <c r="I9" i="4"/>
  <c r="J9" i="4" s="1"/>
  <c r="I10" i="4"/>
  <c r="I11" i="4"/>
  <c r="J11" i="4" s="1"/>
  <c r="I12" i="4"/>
  <c r="J12" i="4" s="1"/>
  <c r="I13" i="4"/>
  <c r="J13" i="4" s="1"/>
  <c r="I14" i="4"/>
  <c r="J14" i="4" s="1"/>
  <c r="I15" i="4"/>
  <c r="I16" i="4"/>
  <c r="J16" i="4" s="1"/>
  <c r="I17" i="4"/>
  <c r="I18" i="4"/>
  <c r="I19" i="4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I29" i="4"/>
  <c r="I30" i="4"/>
  <c r="I31" i="4"/>
  <c r="I32" i="4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I40" i="4"/>
  <c r="J40" i="4" s="1"/>
  <c r="I41" i="4"/>
  <c r="I42" i="4"/>
  <c r="J42" i="4" s="1"/>
  <c r="I43" i="4"/>
  <c r="I44" i="4"/>
  <c r="J44" i="4" s="1"/>
  <c r="I45" i="4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2" i="4"/>
  <c r="J2" i="4" s="1"/>
  <c r="J5" i="4"/>
  <c r="J6" i="4"/>
  <c r="J8" i="4"/>
  <c r="J10" i="4"/>
  <c r="J15" i="4"/>
  <c r="J17" i="4"/>
  <c r="J18" i="4"/>
  <c r="J19" i="4"/>
  <c r="J28" i="4"/>
  <c r="J29" i="4"/>
  <c r="J30" i="4"/>
  <c r="J31" i="4"/>
  <c r="J32" i="4"/>
  <c r="J39" i="4"/>
  <c r="J41" i="4"/>
  <c r="J43" i="4"/>
  <c r="J45" i="4"/>
  <c r="K2" i="4"/>
  <c r="F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P21" i="1"/>
  <c r="P20" i="1"/>
  <c r="P19" i="1"/>
  <c r="P18" i="1"/>
  <c r="P17" i="1"/>
  <c r="P16" i="1"/>
  <c r="O21" i="1"/>
  <c r="O20" i="1"/>
  <c r="O19" i="1"/>
  <c r="O18" i="1"/>
  <c r="O17" i="1"/>
  <c r="O16" i="1"/>
  <c r="N16" i="1"/>
  <c r="N21" i="1"/>
  <c r="N20" i="1"/>
  <c r="N19" i="1"/>
  <c r="N18" i="1"/>
  <c r="N17" i="1"/>
  <c r="J3" i="1"/>
  <c r="K3" i="1" s="1"/>
  <c r="J4" i="1"/>
  <c r="K4" i="1" s="1"/>
  <c r="J8" i="1"/>
  <c r="K8" i="1" s="1"/>
  <c r="J9" i="1"/>
  <c r="K9" i="1" s="1"/>
  <c r="J10" i="1"/>
  <c r="K10" i="1" s="1"/>
  <c r="J12" i="1"/>
  <c r="K12" i="1" s="1"/>
  <c r="J15" i="1"/>
  <c r="K15" i="1" s="1"/>
  <c r="J16" i="1"/>
  <c r="K16" i="1" s="1"/>
  <c r="J18" i="1"/>
  <c r="K18" i="1" s="1"/>
  <c r="J21" i="1"/>
  <c r="K21" i="1" s="1"/>
  <c r="J22" i="1"/>
  <c r="K22" i="1" s="1"/>
  <c r="J24" i="1"/>
  <c r="K24" i="1" s="1"/>
  <c r="J25" i="1"/>
  <c r="K25" i="1" s="1"/>
  <c r="J27" i="1"/>
  <c r="K27" i="1" s="1"/>
  <c r="J29" i="1"/>
  <c r="K29" i="1" s="1"/>
  <c r="J30" i="1"/>
  <c r="K30" i="1" s="1"/>
  <c r="J35" i="1"/>
  <c r="K35" i="1" s="1"/>
  <c r="J36" i="1"/>
  <c r="K36" i="1" s="1"/>
  <c r="J37" i="1"/>
  <c r="K37" i="1" s="1"/>
  <c r="J39" i="1"/>
  <c r="K39" i="1" s="1"/>
  <c r="J41" i="1"/>
  <c r="K41" i="1" s="1"/>
  <c r="J42" i="1"/>
  <c r="K42" i="1" s="1"/>
  <c r="J43" i="1"/>
  <c r="K43" i="1" s="1"/>
  <c r="J45" i="1"/>
  <c r="K45" i="1" s="1"/>
  <c r="J46" i="1"/>
  <c r="K46" i="1" s="1"/>
  <c r="J47" i="1"/>
  <c r="K47" i="1" s="1"/>
  <c r="J49" i="1"/>
  <c r="K49" i="1" s="1"/>
  <c r="J50" i="1"/>
  <c r="K50" i="1" s="1"/>
  <c r="J51" i="1"/>
  <c r="K51" i="1" s="1"/>
  <c r="F4" i="1"/>
  <c r="F5" i="1"/>
  <c r="F6" i="1"/>
  <c r="F7" i="1"/>
  <c r="F8" i="1"/>
  <c r="F9" i="1"/>
  <c r="F10" i="1"/>
  <c r="F11" i="1"/>
  <c r="F12" i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F30" i="1"/>
  <c r="G30" i="1" s="1"/>
  <c r="F31" i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G4" i="1"/>
  <c r="G5" i="1"/>
  <c r="G6" i="1"/>
  <c r="G7" i="1"/>
  <c r="G8" i="1"/>
  <c r="G9" i="1"/>
  <c r="G10" i="1"/>
  <c r="G11" i="1"/>
  <c r="G12" i="1"/>
  <c r="G19" i="1"/>
  <c r="G29" i="1"/>
  <c r="G31" i="1"/>
  <c r="G4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7" i="1"/>
  <c r="I27" i="1" s="1"/>
  <c r="H28" i="1"/>
  <c r="I28" i="1" s="1"/>
  <c r="H29" i="1"/>
  <c r="I29" i="1" s="1"/>
  <c r="H30" i="1"/>
  <c r="I30" i="1" s="1"/>
  <c r="H31" i="1"/>
  <c r="I31" i="1" s="1"/>
  <c r="H35" i="1"/>
  <c r="I35" i="1" s="1"/>
  <c r="H36" i="1"/>
  <c r="I36" i="1" s="1"/>
  <c r="H37" i="1"/>
  <c r="I37" i="1" s="1"/>
  <c r="H39" i="1"/>
  <c r="I39" i="1" s="1"/>
  <c r="H41" i="1"/>
  <c r="I41" i="1" s="1"/>
  <c r="H42" i="1"/>
  <c r="I42" i="1" s="1"/>
  <c r="H43" i="1"/>
  <c r="I43" i="1" s="1"/>
  <c r="H45" i="1"/>
  <c r="I45" i="1" s="1"/>
  <c r="H46" i="1"/>
  <c r="I46" i="1" s="1"/>
  <c r="H47" i="1"/>
  <c r="I47" i="1" s="1"/>
  <c r="H49" i="1"/>
  <c r="I49" i="1" s="1"/>
  <c r="H50" i="1"/>
  <c r="I50" i="1" s="1"/>
  <c r="H51" i="1"/>
  <c r="I51" i="1" s="1"/>
  <c r="H3" i="1"/>
  <c r="I3" i="1" s="1"/>
  <c r="F3" i="1"/>
  <c r="G3" i="1" s="1"/>
  <c r="F2" i="1"/>
  <c r="G2" i="1" s="1"/>
</calcChain>
</file>

<file path=xl/sharedStrings.xml><?xml version="1.0" encoding="utf-8"?>
<sst xmlns="http://schemas.openxmlformats.org/spreadsheetml/2006/main" count="219" uniqueCount="58">
  <si>
    <t>User ID</t>
  </si>
  <si>
    <t>Subscription Date</t>
  </si>
  <si>
    <t>Churn Date</t>
  </si>
  <si>
    <t>Monthly Fee</t>
  </si>
  <si>
    <t>Cohort</t>
  </si>
  <si>
    <t>NULL</t>
  </si>
  <si>
    <t>30-Day Retention</t>
  </si>
  <si>
    <t>60-Day Retention</t>
  </si>
  <si>
    <t>90-Day Retention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</si>
  <si>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</si>
  <si>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</si>
  <si>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</si>
  <si>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</si>
  <si>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</si>
  <si>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</si>
  <si>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</si>
  <si>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</si>
  <si>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30 Day Status</t>
  </si>
  <si>
    <t>60 Day Status</t>
  </si>
  <si>
    <t>90 Day Status</t>
  </si>
  <si>
    <t>Count of 30 Day Status</t>
  </si>
  <si>
    <t>Count of 60 Day Status</t>
  </si>
  <si>
    <t>Count of 90 Day Status</t>
  </si>
  <si>
    <t>Retention</t>
  </si>
  <si>
    <t>Retention Rate of 30 D</t>
  </si>
  <si>
    <t>Retention Rate of 60 D</t>
  </si>
  <si>
    <t>Retention Rate of 90 D</t>
  </si>
  <si>
    <t>Campaign ID</t>
  </si>
  <si>
    <t>Campaign Start Date</t>
  </si>
  <si>
    <t>Acquisition Date</t>
  </si>
  <si>
    <t>Engagement Metrics</t>
  </si>
  <si>
    <t>Retention Metrics</t>
  </si>
  <si>
    <t>Conversion Metrics</t>
  </si>
  <si>
    <t>Date of Conversion</t>
  </si>
  <si>
    <t>5 clicks</t>
  </si>
  <si>
    <t>Subscription</t>
  </si>
  <si>
    <t>3 clicks</t>
  </si>
  <si>
    <t>No Conversion</t>
  </si>
  <si>
    <t>8 clicks</t>
  </si>
  <si>
    <t>Purchase</t>
  </si>
  <si>
    <t>6 clicks</t>
  </si>
  <si>
    <t>2 clicks</t>
  </si>
  <si>
    <t>7 clicks</t>
  </si>
  <si>
    <t>9 clicks</t>
  </si>
  <si>
    <t>4 clicks</t>
  </si>
  <si>
    <t>10 clicks</t>
  </si>
  <si>
    <t>Social Media Ads</t>
  </si>
  <si>
    <t>Email</t>
  </si>
  <si>
    <t>Promotion</t>
  </si>
  <si>
    <t>Retention after 7 days</t>
  </si>
  <si>
    <t>Retention after 30 days</t>
  </si>
  <si>
    <t>Behavioural Cohort</t>
  </si>
  <si>
    <t>Cohort A</t>
  </si>
  <si>
    <t>Cohort C</t>
  </si>
  <si>
    <t>Cohort G</t>
  </si>
  <si>
    <t>Retention 7D</t>
  </si>
  <si>
    <t>Retention 30D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</si>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</sst>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pivotButton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Based'!$N$16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C-4AC2-A8D7-5DD8E2F7991C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Based'!$O$16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C-4AC2-A8D7-5DD8E2F7991C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Based'!$P$16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C-4AC2-A8D7-5DD8E2F7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668672"/>
        <c:axId val="851661952"/>
      </c:barChart>
      <c:catAx>
        <c:axId val="851668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851661952"/>
        <c:crosses val="autoZero"/>
        <c:auto val="1"/>
        <c:lblAlgn val="ctr"/>
        <c:lblOffset val="100"/>
        <c:noMultiLvlLbl val="0"/>
      </c:catAx>
      <c:valAx>
        <c:axId val="8516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Feb</a:t>
            </a:r>
            <a:r>
              <a:rPr lang="en-IN" baseline="0"/>
              <a:t>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Based'!$N$17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6-47E7-B1ED-F3AB4703310E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Based'!$O$17</c:f>
              <c:numCache>
                <c:formatCode>General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6-47E7-B1ED-F3AB4703310E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Based'!$P$17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6-47E7-B1ED-F3AB47033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619232"/>
        <c:axId val="851621632"/>
      </c:barChart>
      <c:catAx>
        <c:axId val="851619232"/>
        <c:scaling>
          <c:orientation val="minMax"/>
        </c:scaling>
        <c:delete val="1"/>
        <c:axPos val="b"/>
        <c:majorTickMark val="none"/>
        <c:minorTickMark val="none"/>
        <c:tickLblPos val="nextTo"/>
        <c:crossAx val="851621632"/>
        <c:crosses val="autoZero"/>
        <c:auto val="1"/>
        <c:lblAlgn val="ctr"/>
        <c:lblOffset val="100"/>
        <c:noMultiLvlLbl val="0"/>
      </c:catAx>
      <c:valAx>
        <c:axId val="8516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6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</a:t>
            </a:r>
            <a:r>
              <a:rPr lang="en-IN" baseline="0"/>
              <a:t>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Based'!$N$18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D-4472-880B-189FB32C50BD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Based'!$O$18</c:f>
              <c:numCache>
                <c:formatCode>General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D-4472-880B-189FB32C50BD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Based'!$P$18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D-4472-880B-189FB32C5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321856"/>
        <c:axId val="341322816"/>
      </c:barChart>
      <c:catAx>
        <c:axId val="341321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322816"/>
        <c:crosses val="autoZero"/>
        <c:auto val="1"/>
        <c:lblAlgn val="ctr"/>
        <c:lblOffset val="100"/>
        <c:noMultiLvlLbl val="0"/>
      </c:catAx>
      <c:valAx>
        <c:axId val="3413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2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Based'!$N$19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0-460E-8AF1-A6FAD2900B58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Based'!$O$19</c:f>
              <c:numCache>
                <c:formatCode>General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0-460E-8AF1-A6FAD2900B58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Based'!$P$19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40-460E-8AF1-A6FAD2900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045376"/>
        <c:axId val="1385045856"/>
      </c:barChart>
      <c:catAx>
        <c:axId val="13850453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5045856"/>
        <c:crosses val="autoZero"/>
        <c:auto val="1"/>
        <c:lblAlgn val="ctr"/>
        <c:lblOffset val="100"/>
        <c:noMultiLvlLbl val="0"/>
      </c:catAx>
      <c:valAx>
        <c:axId val="13850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04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May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Based'!$N$20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7-4A9B-B0D2-3E6FDCA67087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Based'!$O$20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7-4A9B-B0D2-3E6FDCA67087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Based'!$P$20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7-4A9B-B0D2-3E6FDCA6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106336"/>
        <c:axId val="1385101536"/>
      </c:barChart>
      <c:catAx>
        <c:axId val="13851063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5101536"/>
        <c:crosses val="autoZero"/>
        <c:auto val="1"/>
        <c:lblAlgn val="ctr"/>
        <c:lblOffset val="100"/>
        <c:noMultiLvlLbl val="0"/>
      </c:catAx>
      <c:valAx>
        <c:axId val="13851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0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Jun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Based'!$N$21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E-4932-8436-962B1667FD14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'Acquisition Based'!$O$21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E-4932-8436-962B1667FD14}"/>
            </c:ext>
          </c:extLst>
        </c:ser>
        <c:ser>
          <c:idx val="2"/>
          <c:order val="2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'Acquisition Based'!$P$21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E-4932-8436-962B1667F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144256"/>
        <c:axId val="1385142816"/>
      </c:barChart>
      <c:catAx>
        <c:axId val="138514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5142816"/>
        <c:crosses val="autoZero"/>
        <c:auto val="1"/>
        <c:lblAlgn val="ctr"/>
        <c:lblOffset val="100"/>
        <c:noMultiLvlLbl val="0"/>
      </c:catAx>
      <c:valAx>
        <c:axId val="13851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4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38100</xdr:rowOff>
        </xdr:from>
        <xdr:to>
          <xdr:col>1</xdr:col>
          <xdr:colOff>579120</xdr:colOff>
          <xdr:row>65</xdr:row>
          <xdr:rowOff>68580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3810</xdr:colOff>
      <xdr:row>22</xdr:row>
      <xdr:rowOff>0</xdr:rowOff>
    </xdr:from>
    <xdr:to>
      <xdr:col>14</xdr:col>
      <xdr:colOff>556260</xdr:colOff>
      <xdr:row>29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83ED5-19EF-E84D-FB0E-23D1E8AAA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762000</xdr:colOff>
      <xdr:row>22</xdr:row>
      <xdr:rowOff>0</xdr:rowOff>
    </xdr:from>
    <xdr:to>
      <xdr:col>16</xdr:col>
      <xdr:colOff>594360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686A80-744F-7E90-400B-E35B03BB6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605790</xdr:colOff>
      <xdr:row>31</xdr:row>
      <xdr:rowOff>0</xdr:rowOff>
    </xdr:from>
    <xdr:to>
      <xdr:col>14</xdr:col>
      <xdr:colOff>571500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EEC35F-FE5F-410B-84FC-020169415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765810</xdr:colOff>
      <xdr:row>31</xdr:row>
      <xdr:rowOff>0</xdr:rowOff>
    </xdr:from>
    <xdr:to>
      <xdr:col>17</xdr:col>
      <xdr:colOff>0</xdr:colOff>
      <xdr:row>39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41982F-D884-77AB-EE5C-0E81596F6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590550</xdr:colOff>
      <xdr:row>40</xdr:row>
      <xdr:rowOff>0</xdr:rowOff>
    </xdr:from>
    <xdr:to>
      <xdr:col>14</xdr:col>
      <xdr:colOff>586740</xdr:colOff>
      <xdr:row>48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F1FA8C-C6DC-F710-7B86-AB4AF4E4A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765810</xdr:colOff>
      <xdr:row>40</xdr:row>
      <xdr:rowOff>7620</xdr:rowOff>
    </xdr:from>
    <xdr:to>
      <xdr:col>17</xdr:col>
      <xdr:colOff>0</xdr:colOff>
      <xdr:row>48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08A4A1-EF85-B952-26F4-E72128CC1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0</xdr:row>
      <xdr:rowOff>68580</xdr:rowOff>
    </xdr:from>
    <xdr:to>
      <xdr:col>16</xdr:col>
      <xdr:colOff>15240</xdr:colOff>
      <xdr:row>4</xdr:row>
      <xdr:rowOff>22860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AF46C7C-0892-3843-1F3C-BAA04FD6C6DB}"/>
            </a:ext>
          </a:extLst>
        </xdr:cNvPr>
        <xdr:cNvSpPr txBox="1"/>
      </xdr:nvSpPr>
      <xdr:spPr>
        <a:xfrm>
          <a:off x="7399020" y="68580"/>
          <a:ext cx="5052060" cy="86868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 u="sng"/>
            <a:t>Analysis</a:t>
          </a:r>
        </a:p>
        <a:p>
          <a:r>
            <a:rPr lang="en-IN" sz="900" b="0" u="none"/>
            <a:t>- </a:t>
          </a:r>
          <a:r>
            <a:rPr lang="en-IN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Retention drops significantly after the first 30 days.</a:t>
          </a:r>
        </a:p>
        <a:p>
          <a:r>
            <a:rPr lang="en-IN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IN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 and June show 100% retention at both 60 and 90 days, but earlier months like February and March drop to as low as 44–66% at 60 days, indicating inconsistent customer stickiness across cohorts</a:t>
          </a:r>
          <a:r>
            <a:rPr lang="en-IN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N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Recent cohorts -&gt; improved long-term retention -&gt; recent changes</a:t>
          </a:r>
          <a:r>
            <a:rPr lang="en-IN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possibly in onboarding, product, or customer engagement, positively impacting customer loyalty and reducing churn for new sign-ups.</a:t>
          </a:r>
          <a:endParaRPr lang="en-IN" sz="9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0</xdr:row>
      <xdr:rowOff>533400</xdr:rowOff>
    </xdr:from>
    <xdr:to>
      <xdr:col>15</xdr:col>
      <xdr:colOff>1798320</xdr:colOff>
      <xdr:row>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118560-BEBB-D912-F371-5DE17F7D9013}"/>
            </a:ext>
          </a:extLst>
        </xdr:cNvPr>
        <xdr:cNvSpPr txBox="1"/>
      </xdr:nvSpPr>
      <xdr:spPr>
        <a:xfrm>
          <a:off x="8755380" y="533400"/>
          <a:ext cx="4366260" cy="11125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 u="sng"/>
            <a:t>Analysis</a:t>
          </a:r>
        </a:p>
        <a:p>
          <a:r>
            <a:rPr lang="en-IN" sz="900" b="0" u="none"/>
            <a:t>- </a:t>
          </a:r>
          <a:r>
            <a:rPr lang="en-IN" sz="900" b="1"/>
            <a:t>Cohort A</a:t>
          </a:r>
          <a:r>
            <a:rPr lang="en-IN" sz="900"/>
            <a:t> has strong initial retention but sees a smaller increase in long-term retention.</a:t>
          </a:r>
        </a:p>
        <a:p>
          <a:r>
            <a:rPr lang="en-IN" sz="900" b="0"/>
            <a:t>-</a:t>
          </a:r>
          <a:r>
            <a:rPr lang="en-IN" sz="900" b="1"/>
            <a:t> Cohort C</a:t>
          </a:r>
          <a:r>
            <a:rPr lang="en-IN" sz="900"/>
            <a:t> has the highest retention after 30 days, suggesting that </a:t>
          </a:r>
          <a:r>
            <a:rPr lang="en-IN" sz="900" b="1"/>
            <a:t>purchases</a:t>
          </a:r>
          <a:r>
            <a:rPr lang="en-IN" sz="900"/>
            <a:t> lead to stronger long-term engagement.</a:t>
          </a:r>
        </a:p>
        <a:p>
          <a:r>
            <a:rPr lang="en-IN" sz="900" b="0"/>
            <a:t>- </a:t>
          </a:r>
          <a:r>
            <a:rPr lang="en-IN" sz="900" b="1"/>
            <a:t>Cohort G</a:t>
          </a:r>
          <a:r>
            <a:rPr lang="en-IN" sz="900"/>
            <a:t> has the lowest retention in both time periods, indicating that users without conversions are less likely to stay.</a:t>
          </a:r>
        </a:p>
        <a:p>
          <a:r>
            <a:rPr lang="en-IN" sz="900"/>
            <a:t>- Initial engagement (such as subscriptions or clicks) doesn't always correlate with long-term retention, where </a:t>
          </a:r>
          <a:r>
            <a:rPr lang="en-IN" sz="900" b="1"/>
            <a:t>purchase-based</a:t>
          </a:r>
          <a:r>
            <a:rPr lang="en-IN" sz="900"/>
            <a:t> cohorts (like Cohort C) tend to show stronger sustained interest.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naga" refreshedDate="45831.768344791664" createdVersion="8" refreshedVersion="8" minRefreshableVersion="3" recordCount="50" xr:uid="{E0D0B350-B4C9-4BDF-932C-6B9B1747EAEA}">
  <cacheSource type="worksheet">
    <worksheetSource ref="A1:K51" sheet="Acquisition Based"/>
  </cacheSource>
  <cacheFields count="13">
    <cacheField name="User ID" numFmtId="0">
      <sharedItems containsSemiMixedTypes="0" containsString="0" containsNumber="1" containsInteger="1" minValue="1" maxValue="50"/>
    </cacheField>
    <cacheField name="Subscription Date" numFmtId="14">
      <sharedItems containsSemiMixedTypes="0" containsNonDate="0" containsDate="1" containsString="0" minDate="2025-01-01T00:00:00" maxDate="2025-06-23T00:00:00"/>
    </cacheField>
    <cacheField name="Churn Date" numFmtId="0">
      <sharedItems containsDate="1" containsMixedTypes="1" minDate="2025-03-01T00:00:00" maxDate="2025-07-21T00:00:00"/>
    </cacheField>
    <cacheField name="Monthly Fee" numFmtId="0">
      <sharedItems containsSemiMixedTypes="0" containsString="0" containsNumber="1" containsInteger="1" minValue="20" maxValue="30"/>
    </cacheField>
    <cacheField name="Cohort" numFmtId="17">
      <sharedItems containsSemiMixedTypes="0" containsNonDate="0" containsDate="1" containsString="0" minDate="2025-01-01T00:00:00" maxDate="2025-06-02T00:00:00" count="6">
        <d v="2025-01-01T00:00:00"/>
        <d v="2025-02-01T00:00:00"/>
        <d v="2025-03-01T00:00:00"/>
        <d v="2025-04-01T00:00:00"/>
        <d v="2025-05-01T00:00:00"/>
        <d v="2025-06-01T00:00:00"/>
      </sharedItems>
      <fieldGroup par="12"/>
    </cacheField>
    <cacheField name="30-Day Retention" numFmtId="14">
      <sharedItems containsSemiMixedTypes="0" containsNonDate="0" containsDate="1" containsString="0" minDate="2025-01-31T00:00:00" maxDate="2025-07-23T00:00:00"/>
    </cacheField>
    <cacheField name="30 Day Status" numFmtId="0">
      <sharedItems/>
    </cacheField>
    <cacheField name="60-Day Retention" numFmtId="14">
      <sharedItems containsNonDate="0" containsDate="1" containsString="0" containsBlank="1" minDate="2025-03-11T00:00:00" maxDate="2025-08-22T00:00:00"/>
    </cacheField>
    <cacheField name="60 Day Status" numFmtId="0">
      <sharedItems containsBlank="1"/>
    </cacheField>
    <cacheField name="90-Day Retention" numFmtId="14">
      <sharedItems containsNonDate="0" containsDate="1" containsString="0" containsBlank="1" minDate="2025-04-10T00:00:00" maxDate="2025-09-21T00:00:00"/>
    </cacheField>
    <cacheField name="90 Day Status" numFmtId="0">
      <sharedItems containsBlank="1"/>
    </cacheField>
    <cacheField name="Days (Cohort)" numFmtId="0" databaseField="0">
      <fieldGroup base="4">
        <rangePr groupBy="days" startDate="2025-01-01T00:00:00" endDate="2025-06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6-2025"/>
        </groupItems>
      </fieldGroup>
    </cacheField>
    <cacheField name="Months (Cohort)" numFmtId="0" databaseField="0">
      <fieldGroup base="4">
        <rangePr groupBy="months" startDate="2025-01-01T00:00:00" endDate="2025-06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25-01-01T00:00:00"/>
    <d v="2025-03-01T00:00:00"/>
    <n v="20"/>
    <x v="0"/>
    <d v="2025-01-31T00:00:00"/>
    <s v="Churned"/>
    <m/>
    <m/>
    <m/>
    <m/>
  </r>
  <r>
    <n v="2"/>
    <d v="2025-01-10T00:00:00"/>
    <d v="2025-06-01T00:00:00"/>
    <n v="20"/>
    <x v="0"/>
    <d v="2025-02-09T00:00:00"/>
    <s v="Active"/>
    <d v="2025-03-11T00:00:00"/>
    <s v="Active"/>
    <d v="2025-04-10T00:00:00"/>
    <s v="Churned"/>
  </r>
  <r>
    <n v="3"/>
    <d v="2025-01-15T00:00:00"/>
    <s v="NULL"/>
    <n v="30"/>
    <x v="0"/>
    <d v="2025-02-14T00:00:00"/>
    <s v="Active"/>
    <d v="2025-03-16T00:00:00"/>
    <s v="Active"/>
    <d v="2025-04-15T00:00:00"/>
    <s v="Active"/>
  </r>
  <r>
    <n v="4"/>
    <d v="2025-01-20T00:00:00"/>
    <d v="2025-04-01T00:00:00"/>
    <n v="20"/>
    <x v="0"/>
    <d v="2025-02-19T00:00:00"/>
    <s v="Active"/>
    <d v="2025-03-21T00:00:00"/>
    <s v="Churned"/>
    <m/>
    <m/>
  </r>
  <r>
    <n v="5"/>
    <d v="2025-01-25T00:00:00"/>
    <d v="2025-05-10T00:00:00"/>
    <n v="20"/>
    <x v="0"/>
    <d v="2025-02-24T00:00:00"/>
    <s v="Active"/>
    <d v="2025-03-26T00:00:00"/>
    <s v="Churned"/>
    <m/>
    <m/>
  </r>
  <r>
    <n v="6"/>
    <d v="2025-02-02T00:00:00"/>
    <d v="2025-05-15T00:00:00"/>
    <n v="30"/>
    <x v="1"/>
    <d v="2025-03-04T00:00:00"/>
    <s v="Active"/>
    <d v="2025-04-03T00:00:00"/>
    <s v="Churned"/>
    <m/>
    <m/>
  </r>
  <r>
    <n v="7"/>
    <d v="2025-02-05T00:00:00"/>
    <d v="2025-06-20T00:00:00"/>
    <n v="25"/>
    <x v="1"/>
    <d v="2025-03-07T00:00:00"/>
    <s v="Active"/>
    <d v="2025-04-06T00:00:00"/>
    <s v="Active"/>
    <d v="2025-05-06T00:00:00"/>
    <s v="Churned"/>
  </r>
  <r>
    <n v="8"/>
    <d v="2025-02-10T00:00:00"/>
    <s v="NULL"/>
    <n v="20"/>
    <x v="1"/>
    <d v="2025-03-12T00:00:00"/>
    <s v="Active"/>
    <d v="2025-04-11T00:00:00"/>
    <s v="Active"/>
    <d v="2025-05-11T00:00:00"/>
    <s v="Active"/>
  </r>
  <r>
    <n v="9"/>
    <d v="2025-02-12T00:00:00"/>
    <d v="2025-07-05T00:00:00"/>
    <n v="30"/>
    <x v="1"/>
    <d v="2025-03-14T00:00:00"/>
    <s v="Active"/>
    <d v="2025-04-13T00:00:00"/>
    <s v="Active"/>
    <d v="2025-05-13T00:00:00"/>
    <s v="Churned"/>
  </r>
  <r>
    <n v="10"/>
    <d v="2025-02-15T00:00:00"/>
    <d v="2025-04-25T00:00:00"/>
    <n v="25"/>
    <x v="1"/>
    <d v="2025-03-17T00:00:00"/>
    <s v="Active"/>
    <d v="2025-04-16T00:00:00"/>
    <s v="Churned"/>
    <m/>
    <m/>
  </r>
  <r>
    <n v="11"/>
    <d v="2025-02-20T00:00:00"/>
    <s v="NULL"/>
    <n v="20"/>
    <x v="1"/>
    <d v="2025-03-22T00:00:00"/>
    <s v="Active"/>
    <d v="2025-04-21T00:00:00"/>
    <s v="Active"/>
    <d v="2025-05-21T00:00:00"/>
    <s v="Active"/>
  </r>
  <r>
    <n v="12"/>
    <d v="2025-03-01T00:00:00"/>
    <d v="2025-06-15T00:00:00"/>
    <n v="20"/>
    <x v="2"/>
    <d v="2025-03-31T00:00:00"/>
    <s v="Active"/>
    <d v="2025-04-30T00:00:00"/>
    <s v="Churned"/>
    <m/>
    <m/>
  </r>
  <r>
    <n v="13"/>
    <d v="2025-03-05T00:00:00"/>
    <d v="2025-07-01T00:00:00"/>
    <n v="20"/>
    <x v="2"/>
    <d v="2025-04-04T00:00:00"/>
    <s v="Active"/>
    <d v="2025-05-04T00:00:00"/>
    <s v="Churned"/>
    <m/>
    <m/>
  </r>
  <r>
    <n v="14"/>
    <d v="2025-03-10T00:00:00"/>
    <s v="NULL"/>
    <n v="25"/>
    <x v="2"/>
    <d v="2025-04-09T00:00:00"/>
    <s v="Active"/>
    <d v="2025-05-09T00:00:00"/>
    <s v="Active"/>
    <d v="2025-06-08T00:00:00"/>
    <s v="Active"/>
  </r>
  <r>
    <n v="15"/>
    <d v="2025-03-12T00:00:00"/>
    <s v="NULL"/>
    <n v="30"/>
    <x v="2"/>
    <d v="2025-04-11T00:00:00"/>
    <s v="Active"/>
    <d v="2025-05-11T00:00:00"/>
    <s v="Active"/>
    <d v="2025-06-10T00:00:00"/>
    <s v="Active"/>
  </r>
  <r>
    <n v="16"/>
    <d v="2025-03-15T00:00:00"/>
    <d v="2025-05-20T00:00:00"/>
    <n v="20"/>
    <x v="2"/>
    <d v="2025-04-14T00:00:00"/>
    <s v="Active"/>
    <d v="2025-05-14T00:00:00"/>
    <s v="Churned"/>
    <m/>
    <m/>
  </r>
  <r>
    <n v="17"/>
    <d v="2025-03-18T00:00:00"/>
    <s v="NULL"/>
    <n v="30"/>
    <x v="2"/>
    <d v="2025-04-17T00:00:00"/>
    <s v="Active"/>
    <d v="2025-05-17T00:00:00"/>
    <s v="Active"/>
    <d v="2025-06-16T00:00:00"/>
    <s v="Active"/>
  </r>
  <r>
    <n v="18"/>
    <d v="2025-03-22T00:00:00"/>
    <d v="2025-05-25T00:00:00"/>
    <n v="20"/>
    <x v="2"/>
    <d v="2025-04-21T00:00:00"/>
    <s v="Active"/>
    <d v="2025-05-21T00:00:00"/>
    <s v="Churned"/>
    <m/>
    <m/>
  </r>
  <r>
    <n v="19"/>
    <d v="2025-03-25T00:00:00"/>
    <d v="2025-06-10T00:00:00"/>
    <n v="20"/>
    <x v="2"/>
    <d v="2025-04-24T00:00:00"/>
    <s v="Active"/>
    <d v="2025-05-24T00:00:00"/>
    <s v="Churned"/>
    <m/>
    <m/>
  </r>
  <r>
    <n v="20"/>
    <d v="2025-03-28T00:00:00"/>
    <s v="NULL"/>
    <n v="25"/>
    <x v="2"/>
    <d v="2025-04-27T00:00:00"/>
    <s v="Active"/>
    <d v="2025-05-27T00:00:00"/>
    <s v="Active"/>
    <d v="2025-06-26T00:00:00"/>
    <s v="Active"/>
  </r>
  <r>
    <n v="21"/>
    <d v="2025-04-01T00:00:00"/>
    <s v="NULL"/>
    <n v="20"/>
    <x v="3"/>
    <d v="2025-05-01T00:00:00"/>
    <s v="Active"/>
    <d v="2025-05-31T00:00:00"/>
    <s v="Active"/>
    <d v="2025-06-30T00:00:00"/>
    <s v="Active"/>
  </r>
  <r>
    <n v="22"/>
    <d v="2025-04-05T00:00:00"/>
    <d v="2025-06-15T00:00:00"/>
    <n v="30"/>
    <x v="3"/>
    <d v="2025-05-05T00:00:00"/>
    <s v="Active"/>
    <d v="2025-06-04T00:00:00"/>
    <s v="Churned"/>
    <m/>
    <m/>
  </r>
  <r>
    <n v="23"/>
    <d v="2025-04-08T00:00:00"/>
    <s v="NULL"/>
    <n v="25"/>
    <x v="3"/>
    <d v="2025-05-08T00:00:00"/>
    <s v="Active"/>
    <d v="2025-06-07T00:00:00"/>
    <s v="Active"/>
    <d v="2025-07-07T00:00:00"/>
    <s v="Active"/>
  </r>
  <r>
    <n v="24"/>
    <d v="2025-04-10T00:00:00"/>
    <s v="NULL"/>
    <n v="30"/>
    <x v="3"/>
    <d v="2025-05-10T00:00:00"/>
    <s v="Active"/>
    <d v="2025-06-09T00:00:00"/>
    <s v="Active"/>
    <d v="2025-07-09T00:00:00"/>
    <s v="Active"/>
  </r>
  <r>
    <n v="25"/>
    <d v="2025-04-12T00:00:00"/>
    <d v="2025-05-30T00:00:00"/>
    <n v="20"/>
    <x v="3"/>
    <d v="2025-05-12T00:00:00"/>
    <s v="Churned"/>
    <m/>
    <m/>
    <m/>
    <m/>
  </r>
  <r>
    <n v="26"/>
    <d v="2025-04-15T00:00:00"/>
    <s v="NULL"/>
    <n v="25"/>
    <x v="3"/>
    <d v="2025-05-15T00:00:00"/>
    <s v="Active"/>
    <d v="2025-06-14T00:00:00"/>
    <s v="Active"/>
    <d v="2025-07-14T00:00:00"/>
    <s v="Active"/>
  </r>
  <r>
    <n v="27"/>
    <d v="2025-04-18T00:00:00"/>
    <d v="2025-06-25T00:00:00"/>
    <n v="20"/>
    <x v="3"/>
    <d v="2025-05-18T00:00:00"/>
    <s v="Active"/>
    <d v="2025-06-17T00:00:00"/>
    <s v="Churned"/>
    <m/>
    <m/>
  </r>
  <r>
    <n v="28"/>
    <d v="2025-04-20T00:00:00"/>
    <s v="NULL"/>
    <n v="30"/>
    <x v="3"/>
    <d v="2025-05-20T00:00:00"/>
    <s v="Active"/>
    <d v="2025-06-19T00:00:00"/>
    <s v="Active"/>
    <d v="2025-07-19T00:00:00"/>
    <s v="Active"/>
  </r>
  <r>
    <n v="29"/>
    <d v="2025-04-25T00:00:00"/>
    <s v="NULL"/>
    <n v="25"/>
    <x v="3"/>
    <d v="2025-05-25T00:00:00"/>
    <s v="Active"/>
    <d v="2025-06-24T00:00:00"/>
    <s v="Active"/>
    <d v="2025-07-24T00:00:00"/>
    <s v="Active"/>
  </r>
  <r>
    <n v="30"/>
    <d v="2025-04-28T00:00:00"/>
    <d v="2025-07-15T00:00:00"/>
    <n v="30"/>
    <x v="3"/>
    <d v="2025-05-28T00:00:00"/>
    <s v="Active"/>
    <d v="2025-06-27T00:00:00"/>
    <s v="Churned"/>
    <m/>
    <m/>
  </r>
  <r>
    <n v="31"/>
    <d v="2025-05-01T00:00:00"/>
    <d v="2025-06-20T00:00:00"/>
    <n v="25"/>
    <x v="4"/>
    <d v="2025-05-31T00:00:00"/>
    <s v="Churned"/>
    <m/>
    <m/>
    <m/>
    <m/>
  </r>
  <r>
    <n v="32"/>
    <d v="2025-05-05T00:00:00"/>
    <d v="2025-06-10T00:00:00"/>
    <n v="20"/>
    <x v="4"/>
    <d v="2025-06-04T00:00:00"/>
    <s v="Churned"/>
    <m/>
    <m/>
    <m/>
    <m/>
  </r>
  <r>
    <n v="33"/>
    <d v="2025-05-08T00:00:00"/>
    <d v="2025-07-01T00:00:00"/>
    <n v="20"/>
    <x v="4"/>
    <d v="2025-06-07T00:00:00"/>
    <s v="Churned"/>
    <m/>
    <m/>
    <m/>
    <m/>
  </r>
  <r>
    <n v="34"/>
    <d v="2025-05-10T00:00:00"/>
    <s v="NULL"/>
    <n v="30"/>
    <x v="4"/>
    <d v="2025-06-09T00:00:00"/>
    <s v="Active"/>
    <d v="2025-07-09T00:00:00"/>
    <s v="Active"/>
    <d v="2025-08-08T00:00:00"/>
    <s v="Active"/>
  </r>
  <r>
    <n v="35"/>
    <d v="2025-05-12T00:00:00"/>
    <s v="NULL"/>
    <n v="25"/>
    <x v="4"/>
    <d v="2025-06-11T00:00:00"/>
    <s v="Active"/>
    <d v="2025-07-11T00:00:00"/>
    <s v="Active"/>
    <d v="2025-08-10T00:00:00"/>
    <s v="Active"/>
  </r>
  <r>
    <n v="36"/>
    <d v="2025-05-15T00:00:00"/>
    <s v="NULL"/>
    <n v="20"/>
    <x v="4"/>
    <d v="2025-06-14T00:00:00"/>
    <s v="Active"/>
    <d v="2025-07-14T00:00:00"/>
    <s v="Active"/>
    <d v="2025-08-13T00:00:00"/>
    <s v="Active"/>
  </r>
  <r>
    <n v="37"/>
    <d v="2025-05-18T00:00:00"/>
    <d v="2025-06-30T00:00:00"/>
    <n v="25"/>
    <x v="4"/>
    <d v="2025-06-17T00:00:00"/>
    <s v="Churned"/>
    <m/>
    <m/>
    <m/>
    <m/>
  </r>
  <r>
    <n v="38"/>
    <d v="2025-05-20T00:00:00"/>
    <s v="NULL"/>
    <n v="30"/>
    <x v="4"/>
    <d v="2025-06-19T00:00:00"/>
    <s v="Active"/>
    <d v="2025-07-19T00:00:00"/>
    <s v="Active"/>
    <d v="2025-08-18T00:00:00"/>
    <s v="Active"/>
  </r>
  <r>
    <n v="39"/>
    <d v="2025-05-22T00:00:00"/>
    <d v="2025-07-05T00:00:00"/>
    <n v="25"/>
    <x v="4"/>
    <d v="2025-06-21T00:00:00"/>
    <s v="Churned"/>
    <m/>
    <m/>
    <m/>
    <m/>
  </r>
  <r>
    <n v="40"/>
    <d v="2025-05-25T00:00:00"/>
    <s v="NULL"/>
    <n v="20"/>
    <x v="4"/>
    <d v="2025-06-24T00:00:00"/>
    <s v="Active"/>
    <d v="2025-07-24T00:00:00"/>
    <s v="Active"/>
    <d v="2025-08-23T00:00:00"/>
    <s v="Active"/>
  </r>
  <r>
    <n v="41"/>
    <d v="2025-06-01T00:00:00"/>
    <s v="NULL"/>
    <n v="20"/>
    <x v="5"/>
    <d v="2025-07-01T00:00:00"/>
    <s v="Active"/>
    <d v="2025-07-31T00:00:00"/>
    <s v="Active"/>
    <d v="2025-08-30T00:00:00"/>
    <s v="Active"/>
  </r>
  <r>
    <n v="42"/>
    <d v="2025-06-03T00:00:00"/>
    <s v="NULL"/>
    <n v="30"/>
    <x v="5"/>
    <d v="2025-07-03T00:00:00"/>
    <s v="Active"/>
    <d v="2025-08-02T00:00:00"/>
    <s v="Active"/>
    <d v="2025-09-01T00:00:00"/>
    <s v="Active"/>
  </r>
  <r>
    <n v="43"/>
    <d v="2025-06-05T00:00:00"/>
    <d v="2025-07-10T00:00:00"/>
    <n v="20"/>
    <x v="5"/>
    <d v="2025-07-05T00:00:00"/>
    <s v="Churned"/>
    <m/>
    <m/>
    <m/>
    <m/>
  </r>
  <r>
    <n v="44"/>
    <d v="2025-06-08T00:00:00"/>
    <s v="NULL"/>
    <n v="25"/>
    <x v="5"/>
    <d v="2025-07-08T00:00:00"/>
    <s v="Active"/>
    <d v="2025-08-07T00:00:00"/>
    <s v="Active"/>
    <d v="2025-09-06T00:00:00"/>
    <s v="Active"/>
  </r>
  <r>
    <n v="45"/>
    <d v="2025-06-10T00:00:00"/>
    <s v="NULL"/>
    <n v="30"/>
    <x v="5"/>
    <d v="2025-07-10T00:00:00"/>
    <s v="Active"/>
    <d v="2025-08-09T00:00:00"/>
    <s v="Active"/>
    <d v="2025-09-08T00:00:00"/>
    <s v="Active"/>
  </r>
  <r>
    <n v="46"/>
    <d v="2025-06-12T00:00:00"/>
    <s v="NULL"/>
    <n v="25"/>
    <x v="5"/>
    <d v="2025-07-12T00:00:00"/>
    <s v="Active"/>
    <d v="2025-08-11T00:00:00"/>
    <s v="Active"/>
    <d v="2025-09-10T00:00:00"/>
    <s v="Active"/>
  </r>
  <r>
    <n v="47"/>
    <d v="2025-06-15T00:00:00"/>
    <d v="2025-07-20T00:00:00"/>
    <n v="20"/>
    <x v="5"/>
    <d v="2025-07-15T00:00:00"/>
    <s v="Churned"/>
    <m/>
    <m/>
    <m/>
    <m/>
  </r>
  <r>
    <n v="48"/>
    <d v="2025-06-18T00:00:00"/>
    <s v="NULL"/>
    <n v="30"/>
    <x v="5"/>
    <d v="2025-07-18T00:00:00"/>
    <s v="Active"/>
    <d v="2025-08-17T00:00:00"/>
    <s v="Active"/>
    <d v="2025-09-16T00:00:00"/>
    <s v="Active"/>
  </r>
  <r>
    <n v="49"/>
    <d v="2025-06-20T00:00:00"/>
    <s v="NULL"/>
    <n v="25"/>
    <x v="5"/>
    <d v="2025-07-20T00:00:00"/>
    <s v="Active"/>
    <d v="2025-08-19T00:00:00"/>
    <s v="Active"/>
    <d v="2025-09-18T00:00:00"/>
    <s v="Active"/>
  </r>
  <r>
    <n v="50"/>
    <d v="2025-06-22T00:00:00"/>
    <s v="NULL"/>
    <n v="20"/>
    <x v="5"/>
    <d v="2025-07-22T00:00:00"/>
    <s v="Active"/>
    <d v="2025-08-21T00:00:00"/>
    <s v="Active"/>
    <d v="2025-09-20T00:00:0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C908C-5392-466E-81A2-3B9E920FFA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P13" firstHeaderRow="0" firstDataRow="1" firstDataCol="1"/>
  <pivotFields count="13">
    <pivotField showAll="0"/>
    <pivotField numFmtId="14" showAll="0"/>
    <pivotField showAll="0"/>
    <pivotField showAll="0"/>
    <pivotField axis="axisRow" numFmtId="17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dataField="1" showAll="0"/>
    <pivotField showAll="0"/>
    <pivotField dataField="1"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30 Day Status" fld="6" subtotal="count" baseField="0" baseItem="0"/>
    <dataField name="Count of 60 Day Status" fld="8" subtotal="count" baseField="0" baseItem="0"/>
    <dataField name="Count of 90 Day Status" fld="10" subtotal="count" baseField="0" baseItem="0"/>
  </dataFields>
  <formats count="18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2" type="button" dataOnly="0" labelOnly="1" outline="0" axis="axisRow" fieldPosition="0"/>
    </format>
    <format dxfId="34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2" type="button" dataOnly="0" labelOnly="1" outline="0" axis="axisRow" fieldPosition="0"/>
    </format>
    <format dxfId="28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2" type="button" dataOnly="0" labelOnly="1" outline="0" axis="axisRow" fieldPosition="0"/>
    </format>
    <format dxfId="22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EC44C-9060-4DE8-8B8A-8BA2FA842235}" name="Table1" displayName="Table1" ref="M15:P21" totalsRowShown="0" headerRowDxfId="19" dataDxfId="18">
  <autoFilter ref="M15:P21" xr:uid="{8DEEC44C-9060-4DE8-8B8A-8BA2FA842235}"/>
  <tableColumns count="4">
    <tableColumn id="1" xr3:uid="{ED82634D-AB0A-406F-9BFC-EFAFE857E37A}" name="Retention" dataDxfId="17"/>
    <tableColumn id="2" xr3:uid="{69D14B3A-6AF3-49D0-AA03-2FCA093A630C}" name="Retention Rate of 30 D" dataDxfId="16"/>
    <tableColumn id="3" xr3:uid="{2547C105-C3BB-44D1-8904-B7E1B3571EE4}" name="Retention Rate of 60 D" dataDxfId="15"/>
    <tableColumn id="4" xr3:uid="{8315547E-804B-49DF-9C37-0A614842E1A8}" name="Retention Rate of 90 D" dataDxfId="1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3FAB6-003F-4FB3-B9E2-BB74B20DBCA4}" name="Table2" displayName="Table2" ref="M6:O9" totalsRowShown="0" headerRowDxfId="13" dataDxfId="12">
  <autoFilter ref="M6:O9" xr:uid="{85F3FAB6-003F-4FB3-B9E2-BB74B20DBCA4}"/>
  <tableColumns count="3">
    <tableColumn id="1" xr3:uid="{F8391A78-5D3E-4F00-A508-859AE8BCCE75}" name="Column1" dataDxfId="11"/>
    <tableColumn id="2" xr3:uid="{E547D148-B601-4AFF-ADA2-D2D588968486}" name="Retention 7D" dataDxfId="10"/>
    <tableColumn id="3" xr3:uid="{AC17D47F-E0E0-4620-BE0F-DCE543FD770C}" name="Retention 30D" dataDxfId="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B3C1-1CEB-4CE1-9FA6-5E432CCFD371}">
  <sheetPr codeName="Sheet1"/>
  <dimension ref="A1:P51"/>
  <sheetViews>
    <sheetView tabSelected="1" zoomScale="50" zoomScaleNormal="50" workbookViewId="0">
      <selection activeCell="Y23" sqref="Y23"/>
    </sheetView>
  </sheetViews>
  <sheetFormatPr defaultRowHeight="15.6" x14ac:dyDescent="0.3"/>
  <cols>
    <col min="1" max="1" width="7" style="3" bestFit="1" customWidth="1"/>
    <col min="2" max="2" width="16.77734375" style="4" bestFit="1" customWidth="1"/>
    <col min="3" max="3" width="14.33203125" style="3" bestFit="1" customWidth="1"/>
    <col min="4" max="5" width="9" style="3" bestFit="1" customWidth="1"/>
    <col min="6" max="6" width="16.44140625" style="3" bestFit="1" customWidth="1"/>
    <col min="7" max="7" width="8.88671875" style="3"/>
    <col min="8" max="8" width="16.44140625" style="3" bestFit="1" customWidth="1"/>
    <col min="9" max="9" width="8.88671875" style="3"/>
    <col min="10" max="10" width="16.44140625" style="3" bestFit="1" customWidth="1"/>
    <col min="11" max="11" width="8.88671875" style="3"/>
    <col min="12" max="12" width="4.88671875" style="3" customWidth="1"/>
    <col min="13" max="13" width="12.5546875" style="3" bestFit="1" customWidth="1"/>
    <col min="14" max="16" width="28.88671875" style="3" bestFit="1" customWidth="1"/>
    <col min="17" max="16384" width="8.88671875" style="3"/>
  </cols>
  <sheetData>
    <row r="1" spans="1:16" ht="31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17</v>
      </c>
      <c r="H1" s="1" t="s">
        <v>7</v>
      </c>
      <c r="I1" s="1" t="s">
        <v>18</v>
      </c>
      <c r="J1" s="1" t="s">
        <v>8</v>
      </c>
      <c r="K1" s="1" t="s">
        <v>19</v>
      </c>
    </row>
    <row r="2" spans="1:16" x14ac:dyDescent="0.3">
      <c r="A2" s="6">
        <v>1</v>
      </c>
      <c r="B2" s="7">
        <v>45658</v>
      </c>
      <c r="C2" s="7">
        <v>45717</v>
      </c>
      <c r="D2" s="6">
        <v>20</v>
      </c>
      <c r="E2" s="8">
        <v>45658</v>
      </c>
      <c r="F2" s="9">
        <f>B2+30</f>
        <v>45688</v>
      </c>
      <c r="G2" s="10" t="str">
        <f>IF(AND(C2&gt;=F2,C2&lt;=F2+30), "Churned", "Active")</f>
        <v>Churned</v>
      </c>
      <c r="H2" s="9"/>
      <c r="I2" s="10"/>
      <c r="J2" s="9"/>
      <c r="K2" s="10"/>
    </row>
    <row r="3" spans="1:16" x14ac:dyDescent="0.3">
      <c r="A3" s="6">
        <v>2</v>
      </c>
      <c r="B3" s="7">
        <v>45667</v>
      </c>
      <c r="C3" s="7">
        <v>45809</v>
      </c>
      <c r="D3" s="6">
        <v>20</v>
      </c>
      <c r="E3" s="8">
        <v>45658</v>
      </c>
      <c r="F3" s="9">
        <f>B3+30</f>
        <v>45697</v>
      </c>
      <c r="G3" s="10" t="str">
        <f>IF(AND(C3&gt;=F3,C3&lt;=F3+30), "Churned", "Active")</f>
        <v>Active</v>
      </c>
      <c r="H3" s="9">
        <f>B3+60</f>
        <v>45727</v>
      </c>
      <c r="I3" s="10" t="str">
        <f t="shared" ref="I3:I51" si="0">IF(AND(C3&gt;=H3,C3&lt;=H3+60), "Churned", "Active")</f>
        <v>Active</v>
      </c>
      <c r="J3" s="9">
        <f t="shared" ref="J3:J51" si="1">B3+90</f>
        <v>45757</v>
      </c>
      <c r="K3" s="10" t="str">
        <f t="shared" ref="K3:K51" si="2">IF(AND(C3&gt;=J3,C3&lt;=J3+90), "Churned", "Active")</f>
        <v>Churned</v>
      </c>
    </row>
    <row r="4" spans="1:16" x14ac:dyDescent="0.3">
      <c r="A4" s="6">
        <v>3</v>
      </c>
      <c r="B4" s="7">
        <v>45672</v>
      </c>
      <c r="C4" s="6" t="s">
        <v>5</v>
      </c>
      <c r="D4" s="6">
        <v>30</v>
      </c>
      <c r="E4" s="8">
        <v>45658</v>
      </c>
      <c r="F4" s="9">
        <f t="shared" ref="F4:F51" si="3">B4+30</f>
        <v>45702</v>
      </c>
      <c r="G4" s="10" t="str">
        <f t="shared" ref="G4:G51" si="4">IF(AND(C4&gt;=F4,C4&lt;=F4+30), "Churned", "Active")</f>
        <v>Active</v>
      </c>
      <c r="H4" s="9">
        <f t="shared" ref="H4:H51" si="5">B4+60</f>
        <v>45732</v>
      </c>
      <c r="I4" s="10" t="str">
        <f t="shared" si="0"/>
        <v>Active</v>
      </c>
      <c r="J4" s="9">
        <f t="shared" si="1"/>
        <v>45762</v>
      </c>
      <c r="K4" s="10" t="str">
        <f t="shared" si="2"/>
        <v>Active</v>
      </c>
    </row>
    <row r="5" spans="1:16" x14ac:dyDescent="0.3">
      <c r="A5" s="6">
        <v>4</v>
      </c>
      <c r="B5" s="7">
        <v>45677</v>
      </c>
      <c r="C5" s="7">
        <v>45748</v>
      </c>
      <c r="D5" s="6">
        <v>20</v>
      </c>
      <c r="E5" s="8">
        <v>45658</v>
      </c>
      <c r="F5" s="9">
        <f t="shared" si="3"/>
        <v>45707</v>
      </c>
      <c r="G5" s="10" t="str">
        <f t="shared" si="4"/>
        <v>Active</v>
      </c>
      <c r="H5" s="9">
        <f t="shared" si="5"/>
        <v>45737</v>
      </c>
      <c r="I5" s="10" t="str">
        <f t="shared" si="0"/>
        <v>Churned</v>
      </c>
      <c r="J5" s="9"/>
      <c r="K5" s="10"/>
    </row>
    <row r="6" spans="1:16" x14ac:dyDescent="0.3">
      <c r="A6" s="6">
        <v>5</v>
      </c>
      <c r="B6" s="7">
        <v>45682</v>
      </c>
      <c r="C6" s="7">
        <v>45787</v>
      </c>
      <c r="D6" s="6">
        <v>20</v>
      </c>
      <c r="E6" s="8">
        <v>45658</v>
      </c>
      <c r="F6" s="9">
        <f t="shared" si="3"/>
        <v>45712</v>
      </c>
      <c r="G6" s="10" t="str">
        <f t="shared" si="4"/>
        <v>Active</v>
      </c>
      <c r="H6" s="9">
        <f t="shared" si="5"/>
        <v>45742</v>
      </c>
      <c r="I6" s="10" t="str">
        <f t="shared" si="0"/>
        <v>Churned</v>
      </c>
      <c r="J6" s="9"/>
      <c r="K6" s="10"/>
      <c r="M6" s="5" t="s">
        <v>9</v>
      </c>
      <c r="N6" s="3" t="s">
        <v>20</v>
      </c>
      <c r="O6" s="3" t="s">
        <v>21</v>
      </c>
      <c r="P6" s="3" t="s">
        <v>22</v>
      </c>
    </row>
    <row r="7" spans="1:16" x14ac:dyDescent="0.3">
      <c r="A7" s="6">
        <v>6</v>
      </c>
      <c r="B7" s="7">
        <v>45690</v>
      </c>
      <c r="C7" s="7">
        <v>45792</v>
      </c>
      <c r="D7" s="6">
        <v>30</v>
      </c>
      <c r="E7" s="8">
        <v>45689</v>
      </c>
      <c r="F7" s="9">
        <f t="shared" si="3"/>
        <v>45720</v>
      </c>
      <c r="G7" s="10" t="str">
        <f t="shared" si="4"/>
        <v>Active</v>
      </c>
      <c r="H7" s="9">
        <f t="shared" si="5"/>
        <v>45750</v>
      </c>
      <c r="I7" s="10" t="str">
        <f t="shared" si="0"/>
        <v>Churned</v>
      </c>
      <c r="J7" s="9"/>
      <c r="K7" s="10"/>
      <c r="M7" s="3" t="s">
        <v>11</v>
      </c>
      <c r="N7" s="3">
        <v>5</v>
      </c>
      <c r="O7" s="3">
        <v>4</v>
      </c>
      <c r="P7" s="3">
        <v>2</v>
      </c>
    </row>
    <row r="8" spans="1:16" x14ac:dyDescent="0.3">
      <c r="A8" s="6">
        <v>7</v>
      </c>
      <c r="B8" s="7">
        <v>45693</v>
      </c>
      <c r="C8" s="7">
        <v>45828</v>
      </c>
      <c r="D8" s="6">
        <v>25</v>
      </c>
      <c r="E8" s="8">
        <v>45689</v>
      </c>
      <c r="F8" s="9">
        <f t="shared" si="3"/>
        <v>45723</v>
      </c>
      <c r="G8" s="10" t="str">
        <f t="shared" si="4"/>
        <v>Active</v>
      </c>
      <c r="H8" s="9">
        <f t="shared" si="5"/>
        <v>45753</v>
      </c>
      <c r="I8" s="10" t="str">
        <f t="shared" si="0"/>
        <v>Active</v>
      </c>
      <c r="J8" s="9">
        <f t="shared" si="1"/>
        <v>45783</v>
      </c>
      <c r="K8" s="10" t="str">
        <f t="shared" si="2"/>
        <v>Churned</v>
      </c>
      <c r="M8" s="3" t="s">
        <v>12</v>
      </c>
      <c r="N8" s="3">
        <v>6</v>
      </c>
      <c r="O8" s="3">
        <v>6</v>
      </c>
      <c r="P8" s="3">
        <v>4</v>
      </c>
    </row>
    <row r="9" spans="1:16" x14ac:dyDescent="0.3">
      <c r="A9" s="6">
        <v>8</v>
      </c>
      <c r="B9" s="7">
        <v>45698</v>
      </c>
      <c r="C9" s="6" t="s">
        <v>5</v>
      </c>
      <c r="D9" s="6">
        <v>20</v>
      </c>
      <c r="E9" s="8">
        <v>45689</v>
      </c>
      <c r="F9" s="9">
        <f t="shared" si="3"/>
        <v>45728</v>
      </c>
      <c r="G9" s="10" t="str">
        <f t="shared" si="4"/>
        <v>Active</v>
      </c>
      <c r="H9" s="9">
        <f t="shared" si="5"/>
        <v>45758</v>
      </c>
      <c r="I9" s="10" t="str">
        <f t="shared" si="0"/>
        <v>Active</v>
      </c>
      <c r="J9" s="9">
        <f t="shared" si="1"/>
        <v>45788</v>
      </c>
      <c r="K9" s="10" t="str">
        <f t="shared" si="2"/>
        <v>Active</v>
      </c>
      <c r="M9" s="3" t="s">
        <v>13</v>
      </c>
      <c r="N9" s="3">
        <v>9</v>
      </c>
      <c r="O9" s="3">
        <v>9</v>
      </c>
      <c r="P9" s="3">
        <v>4</v>
      </c>
    </row>
    <row r="10" spans="1:16" x14ac:dyDescent="0.3">
      <c r="A10" s="6">
        <v>9</v>
      </c>
      <c r="B10" s="7">
        <v>45700</v>
      </c>
      <c r="C10" s="7">
        <v>45843</v>
      </c>
      <c r="D10" s="6">
        <v>30</v>
      </c>
      <c r="E10" s="8">
        <v>45689</v>
      </c>
      <c r="F10" s="9">
        <f t="shared" si="3"/>
        <v>45730</v>
      </c>
      <c r="G10" s="10" t="str">
        <f t="shared" si="4"/>
        <v>Active</v>
      </c>
      <c r="H10" s="9">
        <f t="shared" si="5"/>
        <v>45760</v>
      </c>
      <c r="I10" s="10" t="str">
        <f t="shared" si="0"/>
        <v>Active</v>
      </c>
      <c r="J10" s="9">
        <f t="shared" si="1"/>
        <v>45790</v>
      </c>
      <c r="K10" s="10" t="str">
        <f t="shared" si="2"/>
        <v>Churned</v>
      </c>
      <c r="M10" s="3" t="s">
        <v>14</v>
      </c>
      <c r="N10" s="3">
        <v>10</v>
      </c>
      <c r="O10" s="3">
        <v>9</v>
      </c>
      <c r="P10" s="3">
        <v>6</v>
      </c>
    </row>
    <row r="11" spans="1:16" x14ac:dyDescent="0.3">
      <c r="A11" s="6">
        <v>10</v>
      </c>
      <c r="B11" s="7">
        <v>45703</v>
      </c>
      <c r="C11" s="7">
        <v>45772</v>
      </c>
      <c r="D11" s="6">
        <v>25</v>
      </c>
      <c r="E11" s="8">
        <v>45689</v>
      </c>
      <c r="F11" s="9">
        <f t="shared" si="3"/>
        <v>45733</v>
      </c>
      <c r="G11" s="10" t="str">
        <f t="shared" si="4"/>
        <v>Active</v>
      </c>
      <c r="H11" s="9">
        <f t="shared" si="5"/>
        <v>45763</v>
      </c>
      <c r="I11" s="10" t="str">
        <f t="shared" si="0"/>
        <v>Churned</v>
      </c>
      <c r="J11" s="9"/>
      <c r="K11" s="10"/>
      <c r="M11" s="3" t="s">
        <v>15</v>
      </c>
      <c r="N11" s="3">
        <v>10</v>
      </c>
      <c r="O11" s="3">
        <v>5</v>
      </c>
      <c r="P11" s="3">
        <v>5</v>
      </c>
    </row>
    <row r="12" spans="1:16" x14ac:dyDescent="0.3">
      <c r="A12" s="6">
        <v>11</v>
      </c>
      <c r="B12" s="7">
        <v>45708</v>
      </c>
      <c r="C12" s="6" t="s">
        <v>5</v>
      </c>
      <c r="D12" s="6">
        <v>20</v>
      </c>
      <c r="E12" s="8">
        <v>45689</v>
      </c>
      <c r="F12" s="9">
        <f t="shared" si="3"/>
        <v>45738</v>
      </c>
      <c r="G12" s="10" t="str">
        <f t="shared" si="4"/>
        <v>Active</v>
      </c>
      <c r="H12" s="9">
        <f t="shared" si="5"/>
        <v>45768</v>
      </c>
      <c r="I12" s="10" t="str">
        <f t="shared" si="0"/>
        <v>Active</v>
      </c>
      <c r="J12" s="9">
        <f t="shared" si="1"/>
        <v>45798</v>
      </c>
      <c r="K12" s="10" t="str">
        <f t="shared" si="2"/>
        <v>Active</v>
      </c>
      <c r="M12" s="3" t="s">
        <v>16</v>
      </c>
      <c r="N12" s="3">
        <v>10</v>
      </c>
      <c r="O12" s="3">
        <v>8</v>
      </c>
      <c r="P12" s="3">
        <v>8</v>
      </c>
    </row>
    <row r="13" spans="1:16" x14ac:dyDescent="0.3">
      <c r="A13" s="6">
        <v>12</v>
      </c>
      <c r="B13" s="7">
        <v>45717</v>
      </c>
      <c r="C13" s="7">
        <v>45823</v>
      </c>
      <c r="D13" s="6">
        <v>20</v>
      </c>
      <c r="E13" s="8">
        <v>45717</v>
      </c>
      <c r="F13" s="9">
        <f t="shared" si="3"/>
        <v>45747</v>
      </c>
      <c r="G13" s="10" t="str">
        <f t="shared" si="4"/>
        <v>Active</v>
      </c>
      <c r="H13" s="9">
        <f t="shared" si="5"/>
        <v>45777</v>
      </c>
      <c r="I13" s="10" t="str">
        <f t="shared" si="0"/>
        <v>Churned</v>
      </c>
      <c r="J13" s="9"/>
      <c r="K13" s="10"/>
      <c r="M13" s="3" t="s">
        <v>10</v>
      </c>
      <c r="N13" s="3">
        <v>50</v>
      </c>
      <c r="O13" s="3">
        <v>41</v>
      </c>
      <c r="P13" s="3">
        <v>29</v>
      </c>
    </row>
    <row r="14" spans="1:16" x14ac:dyDescent="0.3">
      <c r="A14" s="6">
        <v>13</v>
      </c>
      <c r="B14" s="7">
        <v>45721</v>
      </c>
      <c r="C14" s="7">
        <v>45839</v>
      </c>
      <c r="D14" s="6">
        <v>20</v>
      </c>
      <c r="E14" s="8">
        <v>45717</v>
      </c>
      <c r="F14" s="9">
        <f t="shared" si="3"/>
        <v>45751</v>
      </c>
      <c r="G14" s="10" t="str">
        <f t="shared" si="4"/>
        <v>Active</v>
      </c>
      <c r="H14" s="9">
        <f t="shared" si="5"/>
        <v>45781</v>
      </c>
      <c r="I14" s="10" t="str">
        <f t="shared" si="0"/>
        <v>Churned</v>
      </c>
      <c r="J14" s="9"/>
      <c r="K14" s="10"/>
    </row>
    <row r="15" spans="1:16" x14ac:dyDescent="0.3">
      <c r="A15" s="6">
        <v>14</v>
      </c>
      <c r="B15" s="7">
        <v>45726</v>
      </c>
      <c r="C15" s="6" t="s">
        <v>5</v>
      </c>
      <c r="D15" s="6">
        <v>25</v>
      </c>
      <c r="E15" s="8">
        <v>45717</v>
      </c>
      <c r="F15" s="9">
        <f t="shared" si="3"/>
        <v>45756</v>
      </c>
      <c r="G15" s="10" t="str">
        <f t="shared" si="4"/>
        <v>Active</v>
      </c>
      <c r="H15" s="9">
        <f t="shared" si="5"/>
        <v>45786</v>
      </c>
      <c r="I15" s="10" t="str">
        <f t="shared" si="0"/>
        <v>Active</v>
      </c>
      <c r="J15" s="9">
        <f t="shared" si="1"/>
        <v>45816</v>
      </c>
      <c r="K15" s="10" t="str">
        <f t="shared" si="2"/>
        <v>Active</v>
      </c>
      <c r="M15" s="3" t="s">
        <v>23</v>
      </c>
      <c r="N15" s="3" t="s">
        <v>24</v>
      </c>
      <c r="O15" s="3" t="s">
        <v>25</v>
      </c>
      <c r="P15" s="3" t="s">
        <v>26</v>
      </c>
    </row>
    <row r="16" spans="1:16" x14ac:dyDescent="0.3">
      <c r="A16" s="6">
        <v>15</v>
      </c>
      <c r="B16" s="7">
        <v>45728</v>
      </c>
      <c r="C16" s="6" t="s">
        <v>5</v>
      </c>
      <c r="D16" s="6">
        <v>30</v>
      </c>
      <c r="E16" s="8">
        <v>45717</v>
      </c>
      <c r="F16" s="9">
        <f t="shared" si="3"/>
        <v>45758</v>
      </c>
      <c r="G16" s="10" t="str">
        <f t="shared" si="4"/>
        <v>Active</v>
      </c>
      <c r="H16" s="9">
        <f t="shared" si="5"/>
        <v>45788</v>
      </c>
      <c r="I16" s="10" t="str">
        <f t="shared" si="0"/>
        <v>Active</v>
      </c>
      <c r="J16" s="9">
        <f t="shared" si="1"/>
        <v>45818</v>
      </c>
      <c r="K16" s="10" t="str">
        <f t="shared" si="2"/>
        <v>Active</v>
      </c>
      <c r="M16" s="11">
        <v>45658</v>
      </c>
      <c r="N16" s="3">
        <f>(4/5)*100</f>
        <v>80</v>
      </c>
      <c r="O16" s="3">
        <f>(2/4)*100</f>
        <v>50</v>
      </c>
      <c r="P16" s="3">
        <f>(1/2)*100</f>
        <v>50</v>
      </c>
    </row>
    <row r="17" spans="1:16" x14ac:dyDescent="0.3">
      <c r="A17" s="6">
        <v>16</v>
      </c>
      <c r="B17" s="7">
        <v>45731</v>
      </c>
      <c r="C17" s="7">
        <v>45797</v>
      </c>
      <c r="D17" s="6">
        <v>20</v>
      </c>
      <c r="E17" s="8">
        <v>45717</v>
      </c>
      <c r="F17" s="9">
        <f t="shared" si="3"/>
        <v>45761</v>
      </c>
      <c r="G17" s="10" t="str">
        <f t="shared" si="4"/>
        <v>Active</v>
      </c>
      <c r="H17" s="9">
        <f t="shared" si="5"/>
        <v>45791</v>
      </c>
      <c r="I17" s="10" t="str">
        <f t="shared" si="0"/>
        <v>Churned</v>
      </c>
      <c r="J17" s="9"/>
      <c r="K17" s="10"/>
      <c r="M17" s="11">
        <v>45689</v>
      </c>
      <c r="N17" s="3">
        <f>(6/6)*100</f>
        <v>100</v>
      </c>
      <c r="O17" s="3">
        <f>(4/6)*100</f>
        <v>66.666666666666657</v>
      </c>
      <c r="P17" s="3">
        <f>(2/4)*100</f>
        <v>50</v>
      </c>
    </row>
    <row r="18" spans="1:16" x14ac:dyDescent="0.3">
      <c r="A18" s="6">
        <v>17</v>
      </c>
      <c r="B18" s="7">
        <v>45734</v>
      </c>
      <c r="C18" s="6" t="s">
        <v>5</v>
      </c>
      <c r="D18" s="6">
        <v>30</v>
      </c>
      <c r="E18" s="8">
        <v>45717</v>
      </c>
      <c r="F18" s="9">
        <f t="shared" si="3"/>
        <v>45764</v>
      </c>
      <c r="G18" s="10" t="str">
        <f t="shared" si="4"/>
        <v>Active</v>
      </c>
      <c r="H18" s="9">
        <f t="shared" si="5"/>
        <v>45794</v>
      </c>
      <c r="I18" s="10" t="str">
        <f t="shared" si="0"/>
        <v>Active</v>
      </c>
      <c r="J18" s="9">
        <f t="shared" si="1"/>
        <v>45824</v>
      </c>
      <c r="K18" s="10" t="str">
        <f t="shared" si="2"/>
        <v>Active</v>
      </c>
      <c r="M18" s="11">
        <v>45717</v>
      </c>
      <c r="N18" s="3">
        <f>(9/9)*100</f>
        <v>100</v>
      </c>
      <c r="O18" s="3">
        <f>(4/9)*100</f>
        <v>44.444444444444443</v>
      </c>
      <c r="P18" s="3">
        <f>(4/4)*100</f>
        <v>100</v>
      </c>
    </row>
    <row r="19" spans="1:16" x14ac:dyDescent="0.3">
      <c r="A19" s="6">
        <v>18</v>
      </c>
      <c r="B19" s="7">
        <v>45738</v>
      </c>
      <c r="C19" s="7">
        <v>45802</v>
      </c>
      <c r="D19" s="6">
        <v>20</v>
      </c>
      <c r="E19" s="8">
        <v>45717</v>
      </c>
      <c r="F19" s="9">
        <f t="shared" si="3"/>
        <v>45768</v>
      </c>
      <c r="G19" s="10" t="str">
        <f t="shared" si="4"/>
        <v>Active</v>
      </c>
      <c r="H19" s="9">
        <f t="shared" si="5"/>
        <v>45798</v>
      </c>
      <c r="I19" s="10" t="str">
        <f t="shared" si="0"/>
        <v>Churned</v>
      </c>
      <c r="J19" s="9"/>
      <c r="K19" s="10"/>
      <c r="M19" s="11">
        <v>45748</v>
      </c>
      <c r="N19" s="3">
        <f>(9/10)*100</f>
        <v>90</v>
      </c>
      <c r="O19" s="3">
        <f>(6/9)*100</f>
        <v>66.666666666666657</v>
      </c>
      <c r="P19" s="3">
        <f>(6/6)*100</f>
        <v>100</v>
      </c>
    </row>
    <row r="20" spans="1:16" x14ac:dyDescent="0.3">
      <c r="A20" s="6">
        <v>19</v>
      </c>
      <c r="B20" s="7">
        <v>45741</v>
      </c>
      <c r="C20" s="7">
        <v>45818</v>
      </c>
      <c r="D20" s="6">
        <v>20</v>
      </c>
      <c r="E20" s="8">
        <v>45717</v>
      </c>
      <c r="F20" s="9">
        <f t="shared" si="3"/>
        <v>45771</v>
      </c>
      <c r="G20" s="10" t="str">
        <f t="shared" si="4"/>
        <v>Active</v>
      </c>
      <c r="H20" s="9">
        <f t="shared" si="5"/>
        <v>45801</v>
      </c>
      <c r="I20" s="10" t="str">
        <f t="shared" si="0"/>
        <v>Churned</v>
      </c>
      <c r="J20" s="9"/>
      <c r="K20" s="10"/>
      <c r="M20" s="11">
        <v>45778</v>
      </c>
      <c r="N20" s="3">
        <f>(5/10)*100</f>
        <v>50</v>
      </c>
      <c r="O20" s="3">
        <f>(5/5)*100</f>
        <v>100</v>
      </c>
      <c r="P20" s="3">
        <f>(5/5)*100</f>
        <v>100</v>
      </c>
    </row>
    <row r="21" spans="1:16" x14ac:dyDescent="0.3">
      <c r="A21" s="6">
        <v>20</v>
      </c>
      <c r="B21" s="7">
        <v>45744</v>
      </c>
      <c r="C21" s="6" t="s">
        <v>5</v>
      </c>
      <c r="D21" s="6">
        <v>25</v>
      </c>
      <c r="E21" s="8">
        <v>45717</v>
      </c>
      <c r="F21" s="9">
        <f t="shared" si="3"/>
        <v>45774</v>
      </c>
      <c r="G21" s="10" t="str">
        <f t="shared" si="4"/>
        <v>Active</v>
      </c>
      <c r="H21" s="9">
        <f t="shared" si="5"/>
        <v>45804</v>
      </c>
      <c r="I21" s="10" t="str">
        <f t="shared" si="0"/>
        <v>Active</v>
      </c>
      <c r="J21" s="9">
        <f t="shared" si="1"/>
        <v>45834</v>
      </c>
      <c r="K21" s="10" t="str">
        <f t="shared" si="2"/>
        <v>Active</v>
      </c>
      <c r="M21" s="11">
        <v>45809</v>
      </c>
      <c r="N21" s="3">
        <f>(8/10)*100</f>
        <v>80</v>
      </c>
      <c r="O21" s="3">
        <f>(8/8)*100</f>
        <v>100</v>
      </c>
      <c r="P21" s="3">
        <f>(8/8)*100</f>
        <v>100</v>
      </c>
    </row>
    <row r="22" spans="1:16" x14ac:dyDescent="0.3">
      <c r="A22" s="6">
        <v>21</v>
      </c>
      <c r="B22" s="7">
        <v>45748</v>
      </c>
      <c r="C22" s="6" t="s">
        <v>5</v>
      </c>
      <c r="D22" s="6">
        <v>20</v>
      </c>
      <c r="E22" s="8">
        <v>45748</v>
      </c>
      <c r="F22" s="9">
        <f t="shared" si="3"/>
        <v>45778</v>
      </c>
      <c r="G22" s="10" t="str">
        <f t="shared" si="4"/>
        <v>Active</v>
      </c>
      <c r="H22" s="9">
        <f t="shared" si="5"/>
        <v>45808</v>
      </c>
      <c r="I22" s="10" t="str">
        <f t="shared" si="0"/>
        <v>Active</v>
      </c>
      <c r="J22" s="9">
        <f t="shared" si="1"/>
        <v>45838</v>
      </c>
      <c r="K22" s="10" t="str">
        <f t="shared" si="2"/>
        <v>Active</v>
      </c>
    </row>
    <row r="23" spans="1:16" x14ac:dyDescent="0.3">
      <c r="A23" s="6">
        <v>22</v>
      </c>
      <c r="B23" s="7">
        <v>45752</v>
      </c>
      <c r="C23" s="7">
        <v>45823</v>
      </c>
      <c r="D23" s="6">
        <v>30</v>
      </c>
      <c r="E23" s="8">
        <v>45748</v>
      </c>
      <c r="F23" s="9">
        <f t="shared" si="3"/>
        <v>45782</v>
      </c>
      <c r="G23" s="10" t="str">
        <f t="shared" si="4"/>
        <v>Active</v>
      </c>
      <c r="H23" s="9">
        <f t="shared" si="5"/>
        <v>45812</v>
      </c>
      <c r="I23" s="10" t="str">
        <f t="shared" si="0"/>
        <v>Churned</v>
      </c>
      <c r="J23" s="9"/>
      <c r="K23" s="10"/>
    </row>
    <row r="24" spans="1:16" x14ac:dyDescent="0.3">
      <c r="A24" s="6">
        <v>23</v>
      </c>
      <c r="B24" s="7">
        <v>45755</v>
      </c>
      <c r="C24" s="6" t="s">
        <v>5</v>
      </c>
      <c r="D24" s="6">
        <v>25</v>
      </c>
      <c r="E24" s="8">
        <v>45748</v>
      </c>
      <c r="F24" s="9">
        <f t="shared" si="3"/>
        <v>45785</v>
      </c>
      <c r="G24" s="10" t="str">
        <f t="shared" si="4"/>
        <v>Active</v>
      </c>
      <c r="H24" s="9">
        <f t="shared" si="5"/>
        <v>45815</v>
      </c>
      <c r="I24" s="10" t="str">
        <f t="shared" si="0"/>
        <v>Active</v>
      </c>
      <c r="J24" s="9">
        <f t="shared" si="1"/>
        <v>45845</v>
      </c>
      <c r="K24" s="10" t="str">
        <f t="shared" si="2"/>
        <v>Active</v>
      </c>
    </row>
    <row r="25" spans="1:16" x14ac:dyDescent="0.3">
      <c r="A25" s="6">
        <v>24</v>
      </c>
      <c r="B25" s="7">
        <v>45757</v>
      </c>
      <c r="C25" s="6" t="s">
        <v>5</v>
      </c>
      <c r="D25" s="6">
        <v>30</v>
      </c>
      <c r="E25" s="8">
        <v>45748</v>
      </c>
      <c r="F25" s="9">
        <f t="shared" si="3"/>
        <v>45787</v>
      </c>
      <c r="G25" s="10" t="str">
        <f t="shared" si="4"/>
        <v>Active</v>
      </c>
      <c r="H25" s="9">
        <f t="shared" si="5"/>
        <v>45817</v>
      </c>
      <c r="I25" s="10" t="str">
        <f t="shared" si="0"/>
        <v>Active</v>
      </c>
      <c r="J25" s="9">
        <f t="shared" si="1"/>
        <v>45847</v>
      </c>
      <c r="K25" s="10" t="str">
        <f t="shared" si="2"/>
        <v>Active</v>
      </c>
    </row>
    <row r="26" spans="1:16" x14ac:dyDescent="0.3">
      <c r="A26" s="6">
        <v>25</v>
      </c>
      <c r="B26" s="7">
        <v>45759</v>
      </c>
      <c r="C26" s="7">
        <v>45807</v>
      </c>
      <c r="D26" s="6">
        <v>20</v>
      </c>
      <c r="E26" s="8">
        <v>45748</v>
      </c>
      <c r="F26" s="9">
        <f t="shared" si="3"/>
        <v>45789</v>
      </c>
      <c r="G26" s="10" t="str">
        <f t="shared" si="4"/>
        <v>Churned</v>
      </c>
      <c r="H26" s="9"/>
      <c r="I26" s="10"/>
      <c r="J26" s="9"/>
      <c r="K26" s="10"/>
    </row>
    <row r="27" spans="1:16" x14ac:dyDescent="0.3">
      <c r="A27" s="6">
        <v>26</v>
      </c>
      <c r="B27" s="7">
        <v>45762</v>
      </c>
      <c r="C27" s="6" t="s">
        <v>5</v>
      </c>
      <c r="D27" s="6">
        <v>25</v>
      </c>
      <c r="E27" s="8">
        <v>45748</v>
      </c>
      <c r="F27" s="9">
        <f t="shared" si="3"/>
        <v>45792</v>
      </c>
      <c r="G27" s="10" t="str">
        <f t="shared" si="4"/>
        <v>Active</v>
      </c>
      <c r="H27" s="9">
        <f t="shared" si="5"/>
        <v>45822</v>
      </c>
      <c r="I27" s="10" t="str">
        <f t="shared" si="0"/>
        <v>Active</v>
      </c>
      <c r="J27" s="9">
        <f t="shared" si="1"/>
        <v>45852</v>
      </c>
      <c r="K27" s="10" t="str">
        <f t="shared" si="2"/>
        <v>Active</v>
      </c>
    </row>
    <row r="28" spans="1:16" x14ac:dyDescent="0.3">
      <c r="A28" s="6">
        <v>27</v>
      </c>
      <c r="B28" s="7">
        <v>45765</v>
      </c>
      <c r="C28" s="7">
        <v>45833</v>
      </c>
      <c r="D28" s="6">
        <v>20</v>
      </c>
      <c r="E28" s="8">
        <v>45748</v>
      </c>
      <c r="F28" s="9">
        <f t="shared" si="3"/>
        <v>45795</v>
      </c>
      <c r="G28" s="10" t="str">
        <f t="shared" si="4"/>
        <v>Active</v>
      </c>
      <c r="H28" s="9">
        <f t="shared" si="5"/>
        <v>45825</v>
      </c>
      <c r="I28" s="10" t="str">
        <f t="shared" si="0"/>
        <v>Churned</v>
      </c>
      <c r="J28" s="9"/>
      <c r="K28" s="10"/>
    </row>
    <row r="29" spans="1:16" x14ac:dyDescent="0.3">
      <c r="A29" s="6">
        <v>28</v>
      </c>
      <c r="B29" s="7">
        <v>45767</v>
      </c>
      <c r="C29" s="6" t="s">
        <v>5</v>
      </c>
      <c r="D29" s="6">
        <v>30</v>
      </c>
      <c r="E29" s="8">
        <v>45748</v>
      </c>
      <c r="F29" s="9">
        <f t="shared" si="3"/>
        <v>45797</v>
      </c>
      <c r="G29" s="10" t="str">
        <f t="shared" si="4"/>
        <v>Active</v>
      </c>
      <c r="H29" s="9">
        <f t="shared" si="5"/>
        <v>45827</v>
      </c>
      <c r="I29" s="10" t="str">
        <f t="shared" si="0"/>
        <v>Active</v>
      </c>
      <c r="J29" s="9">
        <f t="shared" si="1"/>
        <v>45857</v>
      </c>
      <c r="K29" s="10" t="str">
        <f t="shared" si="2"/>
        <v>Active</v>
      </c>
    </row>
    <row r="30" spans="1:16" x14ac:dyDescent="0.3">
      <c r="A30" s="6">
        <v>29</v>
      </c>
      <c r="B30" s="7">
        <v>45772</v>
      </c>
      <c r="C30" s="6" t="s">
        <v>5</v>
      </c>
      <c r="D30" s="6">
        <v>25</v>
      </c>
      <c r="E30" s="8">
        <v>45748</v>
      </c>
      <c r="F30" s="9">
        <f t="shared" si="3"/>
        <v>45802</v>
      </c>
      <c r="G30" s="10" t="str">
        <f t="shared" si="4"/>
        <v>Active</v>
      </c>
      <c r="H30" s="9">
        <f t="shared" si="5"/>
        <v>45832</v>
      </c>
      <c r="I30" s="10" t="str">
        <f t="shared" si="0"/>
        <v>Active</v>
      </c>
      <c r="J30" s="9">
        <f t="shared" si="1"/>
        <v>45862</v>
      </c>
      <c r="K30" s="10" t="str">
        <f t="shared" si="2"/>
        <v>Active</v>
      </c>
    </row>
    <row r="31" spans="1:16" x14ac:dyDescent="0.3">
      <c r="A31" s="6">
        <v>30</v>
      </c>
      <c r="B31" s="7">
        <v>45775</v>
      </c>
      <c r="C31" s="7">
        <v>45853</v>
      </c>
      <c r="D31" s="6">
        <v>30</v>
      </c>
      <c r="E31" s="8">
        <v>45748</v>
      </c>
      <c r="F31" s="9">
        <f t="shared" si="3"/>
        <v>45805</v>
      </c>
      <c r="G31" s="10" t="str">
        <f t="shared" si="4"/>
        <v>Active</v>
      </c>
      <c r="H31" s="9">
        <f t="shared" si="5"/>
        <v>45835</v>
      </c>
      <c r="I31" s="10" t="str">
        <f t="shared" si="0"/>
        <v>Churned</v>
      </c>
      <c r="J31" s="9"/>
      <c r="K31" s="10"/>
    </row>
    <row r="32" spans="1:16" x14ac:dyDescent="0.3">
      <c r="A32" s="6">
        <v>31</v>
      </c>
      <c r="B32" s="7">
        <v>45778</v>
      </c>
      <c r="C32" s="7">
        <v>45828</v>
      </c>
      <c r="D32" s="6">
        <v>25</v>
      </c>
      <c r="E32" s="8">
        <v>45778</v>
      </c>
      <c r="F32" s="9">
        <f t="shared" si="3"/>
        <v>45808</v>
      </c>
      <c r="G32" s="10" t="str">
        <f t="shared" si="4"/>
        <v>Churned</v>
      </c>
      <c r="H32" s="9"/>
      <c r="I32" s="10"/>
      <c r="J32" s="9"/>
      <c r="K32" s="10"/>
    </row>
    <row r="33" spans="1:11" x14ac:dyDescent="0.3">
      <c r="A33" s="6">
        <v>32</v>
      </c>
      <c r="B33" s="7">
        <v>45782</v>
      </c>
      <c r="C33" s="7">
        <v>45818</v>
      </c>
      <c r="D33" s="6">
        <v>20</v>
      </c>
      <c r="E33" s="8">
        <v>45778</v>
      </c>
      <c r="F33" s="9">
        <f t="shared" si="3"/>
        <v>45812</v>
      </c>
      <c r="G33" s="10" t="str">
        <f t="shared" si="4"/>
        <v>Churned</v>
      </c>
      <c r="H33" s="9"/>
      <c r="I33" s="10"/>
      <c r="J33" s="9"/>
      <c r="K33" s="10"/>
    </row>
    <row r="34" spans="1:11" x14ac:dyDescent="0.3">
      <c r="A34" s="6">
        <v>33</v>
      </c>
      <c r="B34" s="7">
        <v>45785</v>
      </c>
      <c r="C34" s="7">
        <v>45839</v>
      </c>
      <c r="D34" s="6">
        <v>20</v>
      </c>
      <c r="E34" s="8">
        <v>45778</v>
      </c>
      <c r="F34" s="9">
        <f t="shared" si="3"/>
        <v>45815</v>
      </c>
      <c r="G34" s="10" t="str">
        <f t="shared" si="4"/>
        <v>Churned</v>
      </c>
      <c r="H34" s="9"/>
      <c r="I34" s="10"/>
      <c r="J34" s="9"/>
      <c r="K34" s="10"/>
    </row>
    <row r="35" spans="1:11" x14ac:dyDescent="0.3">
      <c r="A35" s="6">
        <v>34</v>
      </c>
      <c r="B35" s="7">
        <v>45787</v>
      </c>
      <c r="C35" s="6" t="s">
        <v>5</v>
      </c>
      <c r="D35" s="6">
        <v>30</v>
      </c>
      <c r="E35" s="8">
        <v>45778</v>
      </c>
      <c r="F35" s="9">
        <f t="shared" si="3"/>
        <v>45817</v>
      </c>
      <c r="G35" s="10" t="str">
        <f t="shared" si="4"/>
        <v>Active</v>
      </c>
      <c r="H35" s="9">
        <f t="shared" si="5"/>
        <v>45847</v>
      </c>
      <c r="I35" s="10" t="str">
        <f t="shared" si="0"/>
        <v>Active</v>
      </c>
      <c r="J35" s="9">
        <f t="shared" si="1"/>
        <v>45877</v>
      </c>
      <c r="K35" s="10" t="str">
        <f t="shared" si="2"/>
        <v>Active</v>
      </c>
    </row>
    <row r="36" spans="1:11" x14ac:dyDescent="0.3">
      <c r="A36" s="6">
        <v>35</v>
      </c>
      <c r="B36" s="7">
        <v>45789</v>
      </c>
      <c r="C36" s="6" t="s">
        <v>5</v>
      </c>
      <c r="D36" s="6">
        <v>25</v>
      </c>
      <c r="E36" s="8">
        <v>45778</v>
      </c>
      <c r="F36" s="9">
        <f t="shared" si="3"/>
        <v>45819</v>
      </c>
      <c r="G36" s="10" t="str">
        <f t="shared" si="4"/>
        <v>Active</v>
      </c>
      <c r="H36" s="9">
        <f t="shared" si="5"/>
        <v>45849</v>
      </c>
      <c r="I36" s="10" t="str">
        <f t="shared" si="0"/>
        <v>Active</v>
      </c>
      <c r="J36" s="9">
        <f t="shared" si="1"/>
        <v>45879</v>
      </c>
      <c r="K36" s="10" t="str">
        <f t="shared" si="2"/>
        <v>Active</v>
      </c>
    </row>
    <row r="37" spans="1:11" x14ac:dyDescent="0.3">
      <c r="A37" s="6">
        <v>36</v>
      </c>
      <c r="B37" s="7">
        <v>45792</v>
      </c>
      <c r="C37" s="6" t="s">
        <v>5</v>
      </c>
      <c r="D37" s="6">
        <v>20</v>
      </c>
      <c r="E37" s="8">
        <v>45778</v>
      </c>
      <c r="F37" s="9">
        <f t="shared" si="3"/>
        <v>45822</v>
      </c>
      <c r="G37" s="10" t="str">
        <f t="shared" si="4"/>
        <v>Active</v>
      </c>
      <c r="H37" s="9">
        <f t="shared" si="5"/>
        <v>45852</v>
      </c>
      <c r="I37" s="10" t="str">
        <f t="shared" si="0"/>
        <v>Active</v>
      </c>
      <c r="J37" s="9">
        <f t="shared" si="1"/>
        <v>45882</v>
      </c>
      <c r="K37" s="10" t="str">
        <f t="shared" si="2"/>
        <v>Active</v>
      </c>
    </row>
    <row r="38" spans="1:11" x14ac:dyDescent="0.3">
      <c r="A38" s="6">
        <v>37</v>
      </c>
      <c r="B38" s="7">
        <v>45795</v>
      </c>
      <c r="C38" s="7">
        <v>45838</v>
      </c>
      <c r="D38" s="6">
        <v>25</v>
      </c>
      <c r="E38" s="8">
        <v>45778</v>
      </c>
      <c r="F38" s="9">
        <f t="shared" si="3"/>
        <v>45825</v>
      </c>
      <c r="G38" s="10" t="str">
        <f t="shared" si="4"/>
        <v>Churned</v>
      </c>
      <c r="H38" s="9"/>
      <c r="I38" s="10"/>
      <c r="J38" s="9"/>
      <c r="K38" s="10"/>
    </row>
    <row r="39" spans="1:11" x14ac:dyDescent="0.3">
      <c r="A39" s="6">
        <v>38</v>
      </c>
      <c r="B39" s="7">
        <v>45797</v>
      </c>
      <c r="C39" s="6" t="s">
        <v>5</v>
      </c>
      <c r="D39" s="6">
        <v>30</v>
      </c>
      <c r="E39" s="8">
        <v>45778</v>
      </c>
      <c r="F39" s="9">
        <f t="shared" si="3"/>
        <v>45827</v>
      </c>
      <c r="G39" s="10" t="str">
        <f t="shared" si="4"/>
        <v>Active</v>
      </c>
      <c r="H39" s="9">
        <f t="shared" si="5"/>
        <v>45857</v>
      </c>
      <c r="I39" s="10" t="str">
        <f t="shared" si="0"/>
        <v>Active</v>
      </c>
      <c r="J39" s="9">
        <f t="shared" si="1"/>
        <v>45887</v>
      </c>
      <c r="K39" s="10" t="str">
        <f t="shared" si="2"/>
        <v>Active</v>
      </c>
    </row>
    <row r="40" spans="1:11" x14ac:dyDescent="0.3">
      <c r="A40" s="6">
        <v>39</v>
      </c>
      <c r="B40" s="7">
        <v>45799</v>
      </c>
      <c r="C40" s="7">
        <v>45843</v>
      </c>
      <c r="D40" s="6">
        <v>25</v>
      </c>
      <c r="E40" s="8">
        <v>45778</v>
      </c>
      <c r="F40" s="9">
        <f t="shared" si="3"/>
        <v>45829</v>
      </c>
      <c r="G40" s="10" t="str">
        <f t="shared" si="4"/>
        <v>Churned</v>
      </c>
      <c r="H40" s="9"/>
      <c r="I40" s="10"/>
      <c r="J40" s="9"/>
      <c r="K40" s="10"/>
    </row>
    <row r="41" spans="1:11" x14ac:dyDescent="0.3">
      <c r="A41" s="6">
        <v>40</v>
      </c>
      <c r="B41" s="7">
        <v>45802</v>
      </c>
      <c r="C41" s="6" t="s">
        <v>5</v>
      </c>
      <c r="D41" s="6">
        <v>20</v>
      </c>
      <c r="E41" s="8">
        <v>45778</v>
      </c>
      <c r="F41" s="9">
        <f t="shared" si="3"/>
        <v>45832</v>
      </c>
      <c r="G41" s="10" t="str">
        <f t="shared" si="4"/>
        <v>Active</v>
      </c>
      <c r="H41" s="9">
        <f t="shared" si="5"/>
        <v>45862</v>
      </c>
      <c r="I41" s="10" t="str">
        <f t="shared" si="0"/>
        <v>Active</v>
      </c>
      <c r="J41" s="9">
        <f t="shared" si="1"/>
        <v>45892</v>
      </c>
      <c r="K41" s="10" t="str">
        <f t="shared" si="2"/>
        <v>Active</v>
      </c>
    </row>
    <row r="42" spans="1:11" x14ac:dyDescent="0.3">
      <c r="A42" s="6">
        <v>41</v>
      </c>
      <c r="B42" s="7">
        <v>45809</v>
      </c>
      <c r="C42" s="6" t="s">
        <v>5</v>
      </c>
      <c r="D42" s="6">
        <v>20</v>
      </c>
      <c r="E42" s="8">
        <v>45809</v>
      </c>
      <c r="F42" s="9">
        <f t="shared" si="3"/>
        <v>45839</v>
      </c>
      <c r="G42" s="10" t="str">
        <f t="shared" si="4"/>
        <v>Active</v>
      </c>
      <c r="H42" s="9">
        <f t="shared" si="5"/>
        <v>45869</v>
      </c>
      <c r="I42" s="10" t="str">
        <f t="shared" si="0"/>
        <v>Active</v>
      </c>
      <c r="J42" s="9">
        <f t="shared" si="1"/>
        <v>45899</v>
      </c>
      <c r="K42" s="10" t="str">
        <f t="shared" si="2"/>
        <v>Active</v>
      </c>
    </row>
    <row r="43" spans="1:11" x14ac:dyDescent="0.3">
      <c r="A43" s="6">
        <v>42</v>
      </c>
      <c r="B43" s="7">
        <v>45811</v>
      </c>
      <c r="C43" s="6" t="s">
        <v>5</v>
      </c>
      <c r="D43" s="6">
        <v>30</v>
      </c>
      <c r="E43" s="8">
        <v>45809</v>
      </c>
      <c r="F43" s="9">
        <f t="shared" si="3"/>
        <v>45841</v>
      </c>
      <c r="G43" s="10" t="str">
        <f t="shared" si="4"/>
        <v>Active</v>
      </c>
      <c r="H43" s="9">
        <f t="shared" si="5"/>
        <v>45871</v>
      </c>
      <c r="I43" s="10" t="str">
        <f t="shared" si="0"/>
        <v>Active</v>
      </c>
      <c r="J43" s="9">
        <f t="shared" si="1"/>
        <v>45901</v>
      </c>
      <c r="K43" s="10" t="str">
        <f t="shared" si="2"/>
        <v>Active</v>
      </c>
    </row>
    <row r="44" spans="1:11" x14ac:dyDescent="0.3">
      <c r="A44" s="6">
        <v>43</v>
      </c>
      <c r="B44" s="7">
        <v>45813</v>
      </c>
      <c r="C44" s="7">
        <v>45848</v>
      </c>
      <c r="D44" s="6">
        <v>20</v>
      </c>
      <c r="E44" s="8">
        <v>45809</v>
      </c>
      <c r="F44" s="9">
        <f t="shared" si="3"/>
        <v>45843</v>
      </c>
      <c r="G44" s="10" t="str">
        <f t="shared" si="4"/>
        <v>Churned</v>
      </c>
      <c r="H44" s="9"/>
      <c r="I44" s="10"/>
      <c r="J44" s="9"/>
      <c r="K44" s="10"/>
    </row>
    <row r="45" spans="1:11" x14ac:dyDescent="0.3">
      <c r="A45" s="6">
        <v>44</v>
      </c>
      <c r="B45" s="7">
        <v>45816</v>
      </c>
      <c r="C45" s="6" t="s">
        <v>5</v>
      </c>
      <c r="D45" s="6">
        <v>25</v>
      </c>
      <c r="E45" s="8">
        <v>45809</v>
      </c>
      <c r="F45" s="9">
        <f t="shared" si="3"/>
        <v>45846</v>
      </c>
      <c r="G45" s="10" t="str">
        <f t="shared" si="4"/>
        <v>Active</v>
      </c>
      <c r="H45" s="9">
        <f t="shared" si="5"/>
        <v>45876</v>
      </c>
      <c r="I45" s="10" t="str">
        <f t="shared" si="0"/>
        <v>Active</v>
      </c>
      <c r="J45" s="9">
        <f t="shared" si="1"/>
        <v>45906</v>
      </c>
      <c r="K45" s="10" t="str">
        <f t="shared" si="2"/>
        <v>Active</v>
      </c>
    </row>
    <row r="46" spans="1:11" x14ac:dyDescent="0.3">
      <c r="A46" s="6">
        <v>45</v>
      </c>
      <c r="B46" s="7">
        <v>45818</v>
      </c>
      <c r="C46" s="6" t="s">
        <v>5</v>
      </c>
      <c r="D46" s="6">
        <v>30</v>
      </c>
      <c r="E46" s="8">
        <v>45809</v>
      </c>
      <c r="F46" s="9">
        <f t="shared" si="3"/>
        <v>45848</v>
      </c>
      <c r="G46" s="10" t="str">
        <f t="shared" si="4"/>
        <v>Active</v>
      </c>
      <c r="H46" s="9">
        <f t="shared" si="5"/>
        <v>45878</v>
      </c>
      <c r="I46" s="10" t="str">
        <f t="shared" si="0"/>
        <v>Active</v>
      </c>
      <c r="J46" s="9">
        <f t="shared" si="1"/>
        <v>45908</v>
      </c>
      <c r="K46" s="10" t="str">
        <f t="shared" si="2"/>
        <v>Active</v>
      </c>
    </row>
    <row r="47" spans="1:11" x14ac:dyDescent="0.3">
      <c r="A47" s="6">
        <v>46</v>
      </c>
      <c r="B47" s="7">
        <v>45820</v>
      </c>
      <c r="C47" s="6" t="s">
        <v>5</v>
      </c>
      <c r="D47" s="6">
        <v>25</v>
      </c>
      <c r="E47" s="8">
        <v>45809</v>
      </c>
      <c r="F47" s="9">
        <f t="shared" si="3"/>
        <v>45850</v>
      </c>
      <c r="G47" s="10" t="str">
        <f t="shared" si="4"/>
        <v>Active</v>
      </c>
      <c r="H47" s="9">
        <f t="shared" si="5"/>
        <v>45880</v>
      </c>
      <c r="I47" s="10" t="str">
        <f t="shared" si="0"/>
        <v>Active</v>
      </c>
      <c r="J47" s="9">
        <f t="shared" si="1"/>
        <v>45910</v>
      </c>
      <c r="K47" s="10" t="str">
        <f t="shared" si="2"/>
        <v>Active</v>
      </c>
    </row>
    <row r="48" spans="1:11" x14ac:dyDescent="0.3">
      <c r="A48" s="6">
        <v>47</v>
      </c>
      <c r="B48" s="7">
        <v>45823</v>
      </c>
      <c r="C48" s="7">
        <v>45858</v>
      </c>
      <c r="D48" s="6">
        <v>20</v>
      </c>
      <c r="E48" s="8">
        <v>45809</v>
      </c>
      <c r="F48" s="9">
        <f t="shared" si="3"/>
        <v>45853</v>
      </c>
      <c r="G48" s="10" t="str">
        <f t="shared" si="4"/>
        <v>Churned</v>
      </c>
      <c r="H48" s="9"/>
      <c r="I48" s="10"/>
      <c r="J48" s="9"/>
      <c r="K48" s="10"/>
    </row>
    <row r="49" spans="1:11" x14ac:dyDescent="0.3">
      <c r="A49" s="6">
        <v>48</v>
      </c>
      <c r="B49" s="7">
        <v>45826</v>
      </c>
      <c r="C49" s="6" t="s">
        <v>5</v>
      </c>
      <c r="D49" s="6">
        <v>30</v>
      </c>
      <c r="E49" s="8">
        <v>45809</v>
      </c>
      <c r="F49" s="9">
        <f t="shared" si="3"/>
        <v>45856</v>
      </c>
      <c r="G49" s="10" t="str">
        <f t="shared" si="4"/>
        <v>Active</v>
      </c>
      <c r="H49" s="9">
        <f t="shared" si="5"/>
        <v>45886</v>
      </c>
      <c r="I49" s="10" t="str">
        <f t="shared" si="0"/>
        <v>Active</v>
      </c>
      <c r="J49" s="9">
        <f t="shared" si="1"/>
        <v>45916</v>
      </c>
      <c r="K49" s="10" t="str">
        <f t="shared" si="2"/>
        <v>Active</v>
      </c>
    </row>
    <row r="50" spans="1:11" x14ac:dyDescent="0.3">
      <c r="A50" s="6">
        <v>49</v>
      </c>
      <c r="B50" s="7">
        <v>45828</v>
      </c>
      <c r="C50" s="6" t="s">
        <v>5</v>
      </c>
      <c r="D50" s="6">
        <v>25</v>
      </c>
      <c r="E50" s="8">
        <v>45809</v>
      </c>
      <c r="F50" s="9">
        <f t="shared" si="3"/>
        <v>45858</v>
      </c>
      <c r="G50" s="10" t="str">
        <f t="shared" si="4"/>
        <v>Active</v>
      </c>
      <c r="H50" s="9">
        <f t="shared" si="5"/>
        <v>45888</v>
      </c>
      <c r="I50" s="10" t="str">
        <f t="shared" si="0"/>
        <v>Active</v>
      </c>
      <c r="J50" s="9">
        <f t="shared" si="1"/>
        <v>45918</v>
      </c>
      <c r="K50" s="10" t="str">
        <f t="shared" si="2"/>
        <v>Active</v>
      </c>
    </row>
    <row r="51" spans="1:11" x14ac:dyDescent="0.3">
      <c r="A51" s="6">
        <v>50</v>
      </c>
      <c r="B51" s="7">
        <v>45830</v>
      </c>
      <c r="C51" s="6" t="s">
        <v>5</v>
      </c>
      <c r="D51" s="6">
        <v>20</v>
      </c>
      <c r="E51" s="8">
        <v>45809</v>
      </c>
      <c r="F51" s="9">
        <f t="shared" si="3"/>
        <v>45860</v>
      </c>
      <c r="G51" s="10" t="str">
        <f t="shared" si="4"/>
        <v>Active</v>
      </c>
      <c r="H51" s="9">
        <f t="shared" si="5"/>
        <v>45890</v>
      </c>
      <c r="I51" s="10" t="str">
        <f t="shared" si="0"/>
        <v>Active</v>
      </c>
      <c r="J51" s="9">
        <f t="shared" si="1"/>
        <v>45920</v>
      </c>
      <c r="K51" s="10" t="str">
        <f t="shared" si="2"/>
        <v>Active</v>
      </c>
    </row>
  </sheetData>
  <conditionalFormatting sqref="G1:G1048576">
    <cfRule type="cellIs" dxfId="8" priority="8" operator="equal">
      <formula>"Churned"</formula>
    </cfRule>
    <cfRule type="cellIs" dxfId="7" priority="9" operator="equal">
      <formula>"Active"</formula>
    </cfRule>
  </conditionalFormatting>
  <conditionalFormatting sqref="I1:I1048576">
    <cfRule type="cellIs" dxfId="6" priority="3" operator="equal">
      <formula>"Churned"</formula>
    </cfRule>
    <cfRule type="cellIs" dxfId="5" priority="4" operator="equal">
      <formula>"Churned"</formula>
    </cfRule>
    <cfRule type="cellIs" dxfId="4" priority="5" operator="equal">
      <formula>"Active"</formula>
    </cfRule>
  </conditionalFormatting>
  <conditionalFormatting sqref="K1:K1048576">
    <cfRule type="cellIs" dxfId="3" priority="1" operator="equal">
      <formula>"Churned"</formula>
    </cfRule>
    <cfRule type="cellIs" dxfId="2" priority="2" operator="equal">
      <formula>"Active"</formula>
    </cfRule>
  </conditionalFormatting>
  <conditionalFormatting sqref="N16:P21">
    <cfRule type="colorScale" priority="6">
      <colorScale>
        <cfvo type="min"/>
        <cfvo type="percentile" val="50"/>
        <cfvo type="max"/>
        <color theme="8" tint="0.79998168889431442"/>
        <color theme="8" tint="0.59999389629810485"/>
        <color theme="8" tint="0.39997558519241921"/>
      </colorScale>
    </cfRule>
    <cfRule type="colorScale" priority="7">
      <colorScale>
        <cfvo type="min"/>
        <cfvo type="percentile" val="50"/>
        <cfvo type="max"/>
        <color theme="8" tint="0.79998168889431442"/>
        <color theme="8" tint="0.39997558519241921"/>
        <color theme="8" tint="-0.499984740745262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64</xdr:row>
                <xdr:rowOff>38100</xdr:rowOff>
              </from>
              <to>
                <xdr:col>1</xdr:col>
                <xdr:colOff>579120</xdr:colOff>
                <xdr:row>65</xdr:row>
                <xdr:rowOff>68580</xdr:rowOff>
              </to>
            </anchor>
          </controlPr>
        </control>
      </mc:Choice>
      <mc:Fallback>
        <control shapeId="1025" r:id="rId4" name="Control 1"/>
      </mc:Fallback>
    </mc:AlternateContent>
  </control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939-DD20-4FA1-B960-50EE1FD77161}">
  <dimension ref="A1:O51"/>
  <sheetViews>
    <sheetView zoomScale="60" workbookViewId="0">
      <selection activeCell="R13" sqref="R13"/>
    </sheetView>
  </sheetViews>
  <sheetFormatPr defaultRowHeight="15.6" x14ac:dyDescent="0.3"/>
  <cols>
    <col min="1" max="1" width="9.88671875" style="14" bestFit="1" customWidth="1"/>
    <col min="2" max="2" width="14.77734375" style="14" bestFit="1" customWidth="1"/>
    <col min="3" max="3" width="13" style="14" customWidth="1"/>
    <col min="4" max="4" width="12.33203125" style="14" customWidth="1"/>
    <col min="5" max="5" width="12.44140625" style="14" customWidth="1"/>
    <col min="6" max="6" width="11.5546875" style="14" customWidth="1"/>
    <col min="7" max="7" width="13.109375" style="14" customWidth="1"/>
    <col min="8" max="8" width="12" style="14" customWidth="1"/>
    <col min="9" max="9" width="14.44140625" style="14" customWidth="1"/>
    <col min="10" max="10" width="13.5546875" style="14" bestFit="1" customWidth="1"/>
    <col min="11" max="11" width="13.6640625" style="14" customWidth="1"/>
    <col min="12" max="12" width="8.88671875" style="14"/>
    <col min="13" max="13" width="13.6640625" style="14" bestFit="1" customWidth="1"/>
    <col min="14" max="14" width="18" style="14" bestFit="1" customWidth="1"/>
    <col min="15" max="15" width="19.109375" style="14" bestFit="1" customWidth="1"/>
    <col min="16" max="16" width="26.33203125" style="14" bestFit="1" customWidth="1"/>
    <col min="17" max="18" width="27.33203125" style="14" bestFit="1" customWidth="1"/>
    <col min="19" max="16384" width="8.88671875" style="14"/>
  </cols>
  <sheetData>
    <row r="1" spans="1:15" s="12" customFormat="1" ht="46.8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49</v>
      </c>
      <c r="J1" s="1" t="s">
        <v>50</v>
      </c>
      <c r="K1" s="1" t="s">
        <v>51</v>
      </c>
    </row>
    <row r="2" spans="1:15" ht="31.2" x14ac:dyDescent="0.3">
      <c r="A2" s="6">
        <v>1</v>
      </c>
      <c r="B2" s="6" t="s">
        <v>46</v>
      </c>
      <c r="C2" s="7">
        <v>45658</v>
      </c>
      <c r="D2" s="7">
        <v>45689</v>
      </c>
      <c r="E2" s="6" t="s">
        <v>34</v>
      </c>
      <c r="F2" s="7">
        <f>D2+30</f>
        <v>45719</v>
      </c>
      <c r="G2" s="6" t="s">
        <v>35</v>
      </c>
      <c r="H2" s="7">
        <v>45689</v>
      </c>
      <c r="I2" s="13" t="str">
        <f>IF(AND(H2&lt;&gt;"", H2-D2&lt;=7), "Retained", "Not Retained")</f>
        <v>Retained</v>
      </c>
      <c r="J2" s="13" t="str">
        <f>IF(I2="Retained", "", IF(AND(H2&lt;&gt;"", H2-D2&lt;=30), "Retained", ""))</f>
        <v/>
      </c>
      <c r="K2" s="13" t="str">
        <f>IF(AND(E2&gt;=5, G2="Subscription"), "Cohort A",
   IF(AND(E2&gt;=3, E2&lt;=4, G2="Purchase"), "Cohort B",
   IF(AND(E2&gt;=5, G2="Purchase"), "Cohort C",
   IF(AND(E2&gt;=3, E2&lt;=4, G2="Subscription"), "Cohort D",
   IF(AND(E2&lt;=2, G2="Subscription"), "Cohort E",
   IF(AND(E2&lt;=2, G2="Purchase"), "Cohort F",
   IF(AND(E2&gt;=5, G2="No Conversion"), "Cohort G",
   IF(AND(E2&gt;=3, E2&lt;=4, G2="No Conversion"), "Cohort H", "Other"))))))))</f>
        <v>Cohort A</v>
      </c>
    </row>
    <row r="3" spans="1:15" ht="31.2" x14ac:dyDescent="0.3">
      <c r="A3" s="6">
        <v>2</v>
      </c>
      <c r="B3" s="6" t="s">
        <v>47</v>
      </c>
      <c r="C3" s="7">
        <v>45672</v>
      </c>
      <c r="D3" s="7">
        <v>45673</v>
      </c>
      <c r="E3" s="6" t="s">
        <v>36</v>
      </c>
      <c r="F3" s="7">
        <f>D3+15</f>
        <v>45688</v>
      </c>
      <c r="G3" s="6" t="s">
        <v>37</v>
      </c>
      <c r="H3" s="6"/>
      <c r="I3" s="13" t="str">
        <f t="shared" ref="I3:I51" si="0">IF(AND(H3&lt;&gt;"", H3-D3&lt;=7), "Retained", "Not Retained")</f>
        <v>Not Retained</v>
      </c>
      <c r="J3" s="13" t="str">
        <f t="shared" ref="J3:J51" si="1">IF(I3="Retained", "", IF(AND(H3&lt;&gt;"", H3-D3&lt;=30), "Retained", ""))</f>
        <v/>
      </c>
      <c r="K3" s="13" t="str">
        <f t="shared" ref="K3:K51" si="2">IF(AND(E3&gt;=5, G3="Subscription"), "Cohort A",
   IF(AND(E3&gt;=3, E3&lt;=4, G3="Purchase"), "Cohort B",
   IF(AND(E3&gt;=5, G3="Purchase"), "Cohort C",
   IF(AND(E3&gt;=3, E3&lt;=4, G3="Subscription"), "Cohort D",
   IF(AND(E3&lt;=2, G3="Subscription"), "Cohort E",
   IF(AND(E3&lt;=2, G3="Purchase"), "Cohort F",
   IF(AND(E3&gt;=5, G3="No Conversion"), "Cohort G",
   IF(AND(E3&gt;=3, E3&lt;=4, G3="No Conversion"), "Cohort H", "Other"))))))))</f>
        <v>Cohort G</v>
      </c>
    </row>
    <row r="4" spans="1:15" ht="31.2" x14ac:dyDescent="0.3">
      <c r="A4" s="6">
        <v>3</v>
      </c>
      <c r="B4" s="6" t="s">
        <v>46</v>
      </c>
      <c r="C4" s="7">
        <v>45658</v>
      </c>
      <c r="D4" s="7">
        <v>45691</v>
      </c>
      <c r="E4" s="6" t="s">
        <v>38</v>
      </c>
      <c r="F4" s="7">
        <f>D4+45</f>
        <v>45736</v>
      </c>
      <c r="G4" s="6" t="s">
        <v>39</v>
      </c>
      <c r="H4" s="7">
        <v>45703</v>
      </c>
      <c r="I4" s="13" t="str">
        <f t="shared" si="0"/>
        <v>Not Retained</v>
      </c>
      <c r="J4" s="13" t="str">
        <f t="shared" si="1"/>
        <v>Retained</v>
      </c>
      <c r="K4" s="13" t="str">
        <f t="shared" si="2"/>
        <v>Cohort C</v>
      </c>
    </row>
    <row r="5" spans="1:15" ht="31.2" x14ac:dyDescent="0.3">
      <c r="A5" s="6">
        <v>4</v>
      </c>
      <c r="B5" s="6" t="s">
        <v>47</v>
      </c>
      <c r="C5" s="7">
        <v>45672</v>
      </c>
      <c r="D5" s="7">
        <v>45673</v>
      </c>
      <c r="E5" s="6" t="s">
        <v>40</v>
      </c>
      <c r="F5" s="7">
        <f>D5+20</f>
        <v>45693</v>
      </c>
      <c r="G5" s="6" t="s">
        <v>35</v>
      </c>
      <c r="H5" s="7">
        <v>45698</v>
      </c>
      <c r="I5" s="13" t="str">
        <f t="shared" si="0"/>
        <v>Not Retained</v>
      </c>
      <c r="J5" s="13" t="str">
        <f t="shared" si="1"/>
        <v>Retained</v>
      </c>
      <c r="K5" s="13" t="str">
        <f t="shared" si="2"/>
        <v>Cohort A</v>
      </c>
    </row>
    <row r="6" spans="1:15" ht="31.2" x14ac:dyDescent="0.3">
      <c r="A6" s="6">
        <v>5</v>
      </c>
      <c r="B6" s="6" t="s">
        <v>46</v>
      </c>
      <c r="C6" s="7">
        <v>45658</v>
      </c>
      <c r="D6" s="7">
        <v>45690</v>
      </c>
      <c r="E6" s="6" t="s">
        <v>41</v>
      </c>
      <c r="F6" s="7">
        <f>D6+7</f>
        <v>45697</v>
      </c>
      <c r="G6" s="6" t="s">
        <v>37</v>
      </c>
      <c r="H6" s="6"/>
      <c r="I6" s="13" t="str">
        <f t="shared" si="0"/>
        <v>Not Retained</v>
      </c>
      <c r="J6" s="13" t="str">
        <f t="shared" si="1"/>
        <v/>
      </c>
      <c r="K6" s="13" t="str">
        <f t="shared" si="2"/>
        <v>Cohort G</v>
      </c>
      <c r="M6" s="14" t="s">
        <v>57</v>
      </c>
      <c r="N6" s="15" t="s">
        <v>55</v>
      </c>
      <c r="O6" s="15" t="s">
        <v>56</v>
      </c>
    </row>
    <row r="7" spans="1:15" x14ac:dyDescent="0.3">
      <c r="A7" s="6">
        <v>6</v>
      </c>
      <c r="B7" s="6" t="s">
        <v>48</v>
      </c>
      <c r="C7" s="7">
        <v>45667</v>
      </c>
      <c r="D7" s="7">
        <v>45669</v>
      </c>
      <c r="E7" s="6" t="s">
        <v>42</v>
      </c>
      <c r="F7" s="7">
        <f>D7+30</f>
        <v>45699</v>
      </c>
      <c r="G7" s="6" t="s">
        <v>39</v>
      </c>
      <c r="H7" s="7">
        <v>45699</v>
      </c>
      <c r="I7" s="13" t="str">
        <f t="shared" si="0"/>
        <v>Not Retained</v>
      </c>
      <c r="J7" s="13" t="str">
        <f t="shared" si="1"/>
        <v>Retained</v>
      </c>
      <c r="K7" s="13" t="str">
        <f t="shared" si="2"/>
        <v>Cohort C</v>
      </c>
      <c r="M7" s="15" t="s">
        <v>52</v>
      </c>
      <c r="N7" s="14">
        <f>COUNTIF(I2:I51, "Retained") / COUNTIF(K2:K51, "Cohort A")</f>
        <v>0.3125</v>
      </c>
      <c r="O7" s="14">
        <f>COUNTIF(J2:J51, "Retained") / COUNTIF(K2:K51, "Cohort A")</f>
        <v>1.5</v>
      </c>
    </row>
    <row r="8" spans="1:15" ht="31.2" x14ac:dyDescent="0.3">
      <c r="A8" s="6">
        <v>7</v>
      </c>
      <c r="B8" s="6" t="s">
        <v>48</v>
      </c>
      <c r="C8" s="7">
        <v>45667</v>
      </c>
      <c r="D8" s="7">
        <v>45668</v>
      </c>
      <c r="E8" s="6" t="s">
        <v>43</v>
      </c>
      <c r="F8" s="7">
        <f>D8+60</f>
        <v>45728</v>
      </c>
      <c r="G8" s="6" t="s">
        <v>37</v>
      </c>
      <c r="H8" s="6"/>
      <c r="I8" s="13" t="str">
        <f t="shared" si="0"/>
        <v>Not Retained</v>
      </c>
      <c r="J8" s="13" t="str">
        <f t="shared" si="1"/>
        <v/>
      </c>
      <c r="K8" s="13" t="str">
        <f t="shared" si="2"/>
        <v>Cohort G</v>
      </c>
      <c r="M8" s="15" t="s">
        <v>53</v>
      </c>
      <c r="N8" s="14">
        <f>COUNTIF(I3:I52, "Retained") / COUNTIF(K3:K52, "Cohort C")</f>
        <v>0.30769230769230771</v>
      </c>
      <c r="O8" s="14">
        <f>COUNTIF(J2:J52, "Retained") / COUNTIF(K2:K52, "Cohort C")</f>
        <v>1.8461538461538463</v>
      </c>
    </row>
    <row r="9" spans="1:15" ht="31.2" x14ac:dyDescent="0.3">
      <c r="A9" s="6">
        <v>8</v>
      </c>
      <c r="B9" s="6" t="s">
        <v>46</v>
      </c>
      <c r="C9" s="7">
        <v>45658</v>
      </c>
      <c r="D9" s="7">
        <v>45693</v>
      </c>
      <c r="E9" s="6" t="s">
        <v>44</v>
      </c>
      <c r="F9" s="7">
        <f>D9+30</f>
        <v>45723</v>
      </c>
      <c r="G9" s="6" t="s">
        <v>35</v>
      </c>
      <c r="H9" s="7">
        <v>45698</v>
      </c>
      <c r="I9" s="13" t="str">
        <f t="shared" si="0"/>
        <v>Retained</v>
      </c>
      <c r="J9" s="13" t="str">
        <f t="shared" si="1"/>
        <v/>
      </c>
      <c r="K9" s="13" t="str">
        <f t="shared" si="2"/>
        <v>Cohort A</v>
      </c>
      <c r="M9" s="15" t="s">
        <v>54</v>
      </c>
      <c r="N9" s="14">
        <f>COUNTIF(I4:I53, "Retained") / COUNTIF(K4:K53, "Cohort G")</f>
        <v>0.2</v>
      </c>
      <c r="O9" s="14">
        <f>COUNTIF(J2:J53, "Retained") / COUNTIF(K2:K53, "Cohort G")</f>
        <v>1.1428571428571428</v>
      </c>
    </row>
    <row r="10" spans="1:15" ht="31.2" x14ac:dyDescent="0.3">
      <c r="A10" s="6">
        <v>9</v>
      </c>
      <c r="B10" s="6" t="s">
        <v>47</v>
      </c>
      <c r="C10" s="7">
        <v>45672</v>
      </c>
      <c r="D10" s="7">
        <v>45674</v>
      </c>
      <c r="E10" s="6" t="s">
        <v>45</v>
      </c>
      <c r="F10" s="7">
        <f>D10+10</f>
        <v>45684</v>
      </c>
      <c r="G10" s="6" t="s">
        <v>37</v>
      </c>
      <c r="H10" s="6"/>
      <c r="I10" s="13" t="str">
        <f t="shared" si="0"/>
        <v>Not Retained</v>
      </c>
      <c r="J10" s="13" t="str">
        <f t="shared" si="1"/>
        <v/>
      </c>
      <c r="K10" s="13" t="str">
        <f t="shared" si="2"/>
        <v>Cohort G</v>
      </c>
    </row>
    <row r="11" spans="1:15" x14ac:dyDescent="0.3">
      <c r="A11" s="6">
        <v>10</v>
      </c>
      <c r="B11" s="6" t="s">
        <v>48</v>
      </c>
      <c r="C11" s="7">
        <v>45667</v>
      </c>
      <c r="D11" s="7">
        <v>45669</v>
      </c>
      <c r="E11" s="6" t="s">
        <v>34</v>
      </c>
      <c r="F11" s="7">
        <f>D11+30</f>
        <v>45699</v>
      </c>
      <c r="G11" s="6" t="s">
        <v>39</v>
      </c>
      <c r="H11" s="7">
        <v>45689</v>
      </c>
      <c r="I11" s="13" t="str">
        <f t="shared" si="0"/>
        <v>Not Retained</v>
      </c>
      <c r="J11" s="13" t="str">
        <f t="shared" si="1"/>
        <v>Retained</v>
      </c>
      <c r="K11" s="13" t="str">
        <f t="shared" si="2"/>
        <v>Cohort C</v>
      </c>
    </row>
    <row r="12" spans="1:15" ht="31.2" x14ac:dyDescent="0.3">
      <c r="A12" s="6">
        <v>11</v>
      </c>
      <c r="B12" s="6" t="s">
        <v>46</v>
      </c>
      <c r="C12" s="7">
        <v>45658</v>
      </c>
      <c r="D12" s="7">
        <v>45691</v>
      </c>
      <c r="E12" s="6" t="s">
        <v>36</v>
      </c>
      <c r="F12" s="7">
        <f>D12+15</f>
        <v>45706</v>
      </c>
      <c r="G12" s="6" t="s">
        <v>35</v>
      </c>
      <c r="H12" s="7">
        <v>45700</v>
      </c>
      <c r="I12" s="13" t="str">
        <f t="shared" si="0"/>
        <v>Not Retained</v>
      </c>
      <c r="J12" s="13" t="str">
        <f t="shared" si="1"/>
        <v>Retained</v>
      </c>
      <c r="K12" s="13" t="str">
        <f t="shared" si="2"/>
        <v>Cohort A</v>
      </c>
    </row>
    <row r="13" spans="1:15" x14ac:dyDescent="0.3">
      <c r="A13" s="6">
        <v>12</v>
      </c>
      <c r="B13" s="6" t="s">
        <v>47</v>
      </c>
      <c r="C13" s="7">
        <v>45672</v>
      </c>
      <c r="D13" s="7">
        <v>45673</v>
      </c>
      <c r="E13" s="6" t="s">
        <v>44</v>
      </c>
      <c r="F13" s="7">
        <f>D13+20</f>
        <v>45693</v>
      </c>
      <c r="G13" s="6" t="s">
        <v>39</v>
      </c>
      <c r="H13" s="7">
        <v>45700</v>
      </c>
      <c r="I13" s="13" t="str">
        <f t="shared" si="0"/>
        <v>Not Retained</v>
      </c>
      <c r="J13" s="13" t="str">
        <f t="shared" si="1"/>
        <v>Retained</v>
      </c>
      <c r="K13" s="13" t="str">
        <f t="shared" si="2"/>
        <v>Cohort C</v>
      </c>
    </row>
    <row r="14" spans="1:15" ht="31.2" x14ac:dyDescent="0.3">
      <c r="A14" s="6">
        <v>13</v>
      </c>
      <c r="B14" s="6" t="s">
        <v>46</v>
      </c>
      <c r="C14" s="7">
        <v>45658</v>
      </c>
      <c r="D14" s="7">
        <v>45691</v>
      </c>
      <c r="E14" s="6" t="s">
        <v>41</v>
      </c>
      <c r="F14" s="7">
        <f>D14+5</f>
        <v>45696</v>
      </c>
      <c r="G14" s="6" t="s">
        <v>37</v>
      </c>
      <c r="H14" s="6"/>
      <c r="I14" s="13" t="str">
        <f t="shared" si="0"/>
        <v>Not Retained</v>
      </c>
      <c r="J14" s="13" t="str">
        <f t="shared" si="1"/>
        <v/>
      </c>
      <c r="K14" s="13" t="str">
        <f t="shared" si="2"/>
        <v>Cohort G</v>
      </c>
    </row>
    <row r="15" spans="1:15" ht="31.2" x14ac:dyDescent="0.3">
      <c r="A15" s="6">
        <v>14</v>
      </c>
      <c r="B15" s="6" t="s">
        <v>47</v>
      </c>
      <c r="C15" s="7">
        <v>45672</v>
      </c>
      <c r="D15" s="7">
        <v>45673</v>
      </c>
      <c r="E15" s="6" t="s">
        <v>38</v>
      </c>
      <c r="F15" s="7">
        <f>D15+30</f>
        <v>45703</v>
      </c>
      <c r="G15" s="6" t="s">
        <v>35</v>
      </c>
      <c r="H15" s="7">
        <v>45700</v>
      </c>
      <c r="I15" s="13" t="str">
        <f t="shared" si="0"/>
        <v>Not Retained</v>
      </c>
      <c r="J15" s="13" t="str">
        <f t="shared" si="1"/>
        <v>Retained</v>
      </c>
      <c r="K15" s="13" t="str">
        <f t="shared" si="2"/>
        <v>Cohort A</v>
      </c>
    </row>
    <row r="16" spans="1:15" ht="31.2" x14ac:dyDescent="0.3">
      <c r="A16" s="6">
        <v>15</v>
      </c>
      <c r="B16" s="6" t="s">
        <v>48</v>
      </c>
      <c r="C16" s="7">
        <v>45667</v>
      </c>
      <c r="D16" s="7">
        <v>45670</v>
      </c>
      <c r="E16" s="6" t="s">
        <v>42</v>
      </c>
      <c r="F16" s="7">
        <f>D16+45</f>
        <v>45715</v>
      </c>
      <c r="G16" s="6" t="s">
        <v>37</v>
      </c>
      <c r="H16" s="6"/>
      <c r="I16" s="13" t="str">
        <f t="shared" si="0"/>
        <v>Not Retained</v>
      </c>
      <c r="J16" s="13" t="str">
        <f t="shared" si="1"/>
        <v/>
      </c>
      <c r="K16" s="13" t="str">
        <f t="shared" si="2"/>
        <v>Cohort G</v>
      </c>
    </row>
    <row r="17" spans="1:11" ht="31.2" x14ac:dyDescent="0.3">
      <c r="A17" s="6">
        <v>16</v>
      </c>
      <c r="B17" s="6" t="s">
        <v>46</v>
      </c>
      <c r="C17" s="7">
        <v>45658</v>
      </c>
      <c r="D17" s="7">
        <v>45690</v>
      </c>
      <c r="E17" s="6" t="s">
        <v>40</v>
      </c>
      <c r="F17" s="7">
        <f>D17+25</f>
        <v>45715</v>
      </c>
      <c r="G17" s="6" t="s">
        <v>39</v>
      </c>
      <c r="H17" s="7">
        <v>45713</v>
      </c>
      <c r="I17" s="13" t="str">
        <f t="shared" si="0"/>
        <v>Not Retained</v>
      </c>
      <c r="J17" s="13" t="str">
        <f t="shared" si="1"/>
        <v>Retained</v>
      </c>
      <c r="K17" s="13" t="str">
        <f t="shared" si="2"/>
        <v>Cohort C</v>
      </c>
    </row>
    <row r="18" spans="1:11" ht="31.2" x14ac:dyDescent="0.3">
      <c r="A18" s="6">
        <v>17</v>
      </c>
      <c r="B18" s="6" t="s">
        <v>48</v>
      </c>
      <c r="C18" s="7">
        <v>45667</v>
      </c>
      <c r="D18" s="7">
        <v>45671</v>
      </c>
      <c r="E18" s="6" t="s">
        <v>36</v>
      </c>
      <c r="F18" s="7">
        <f>D18+60</f>
        <v>45731</v>
      </c>
      <c r="G18" s="6" t="s">
        <v>37</v>
      </c>
      <c r="H18" s="6"/>
      <c r="I18" s="13" t="str">
        <f t="shared" si="0"/>
        <v>Not Retained</v>
      </c>
      <c r="J18" s="13" t="str">
        <f t="shared" si="1"/>
        <v/>
      </c>
      <c r="K18" s="13" t="str">
        <f t="shared" si="2"/>
        <v>Cohort G</v>
      </c>
    </row>
    <row r="19" spans="1:11" ht="31.2" x14ac:dyDescent="0.3">
      <c r="A19" s="6">
        <v>18</v>
      </c>
      <c r="B19" s="6" t="s">
        <v>46</v>
      </c>
      <c r="C19" s="7">
        <v>45658</v>
      </c>
      <c r="D19" s="7">
        <v>45691</v>
      </c>
      <c r="E19" s="6" t="s">
        <v>34</v>
      </c>
      <c r="F19" s="7">
        <f>D19+35</f>
        <v>45726</v>
      </c>
      <c r="G19" s="6" t="s">
        <v>35</v>
      </c>
      <c r="H19" s="7">
        <v>45708</v>
      </c>
      <c r="I19" s="13" t="str">
        <f t="shared" si="0"/>
        <v>Not Retained</v>
      </c>
      <c r="J19" s="13" t="str">
        <f t="shared" si="1"/>
        <v>Retained</v>
      </c>
      <c r="K19" s="13" t="str">
        <f t="shared" si="2"/>
        <v>Cohort A</v>
      </c>
    </row>
    <row r="20" spans="1:11" x14ac:dyDescent="0.3">
      <c r="A20" s="6">
        <v>19</v>
      </c>
      <c r="B20" s="6" t="s">
        <v>47</v>
      </c>
      <c r="C20" s="7">
        <v>45672</v>
      </c>
      <c r="D20" s="7">
        <v>45674</v>
      </c>
      <c r="E20" s="6" t="s">
        <v>42</v>
      </c>
      <c r="F20" s="7">
        <f>D20+30</f>
        <v>45704</v>
      </c>
      <c r="G20" s="6" t="s">
        <v>39</v>
      </c>
      <c r="H20" s="7">
        <v>45689</v>
      </c>
      <c r="I20" s="13" t="str">
        <f t="shared" si="0"/>
        <v>Not Retained</v>
      </c>
      <c r="J20" s="13" t="str">
        <f t="shared" si="1"/>
        <v>Retained</v>
      </c>
      <c r="K20" s="13" t="str">
        <f t="shared" si="2"/>
        <v>Cohort C</v>
      </c>
    </row>
    <row r="21" spans="1:11" ht="31.2" x14ac:dyDescent="0.3">
      <c r="A21" s="6">
        <v>20</v>
      </c>
      <c r="B21" s="6" t="s">
        <v>46</v>
      </c>
      <c r="C21" s="7">
        <v>45658</v>
      </c>
      <c r="D21" s="7">
        <v>45689</v>
      </c>
      <c r="E21" s="6" t="s">
        <v>44</v>
      </c>
      <c r="F21" s="7">
        <f>D21+10</f>
        <v>45699</v>
      </c>
      <c r="G21" s="6" t="s">
        <v>35</v>
      </c>
      <c r="H21" s="7">
        <v>45703</v>
      </c>
      <c r="I21" s="13" t="str">
        <f t="shared" si="0"/>
        <v>Not Retained</v>
      </c>
      <c r="J21" s="13" t="str">
        <f t="shared" si="1"/>
        <v>Retained</v>
      </c>
      <c r="K21" s="13" t="str">
        <f t="shared" si="2"/>
        <v>Cohort A</v>
      </c>
    </row>
    <row r="22" spans="1:11" ht="31.2" x14ac:dyDescent="0.3">
      <c r="A22" s="6">
        <v>21</v>
      </c>
      <c r="B22" s="6" t="s">
        <v>47</v>
      </c>
      <c r="C22" s="7">
        <v>45672</v>
      </c>
      <c r="D22" s="7">
        <v>45673</v>
      </c>
      <c r="E22" s="6" t="s">
        <v>43</v>
      </c>
      <c r="F22" s="7">
        <f>D22+20</f>
        <v>45693</v>
      </c>
      <c r="G22" s="6" t="s">
        <v>37</v>
      </c>
      <c r="H22" s="6"/>
      <c r="I22" s="13" t="str">
        <f t="shared" si="0"/>
        <v>Not Retained</v>
      </c>
      <c r="J22" s="13" t="str">
        <f t="shared" si="1"/>
        <v/>
      </c>
      <c r="K22" s="13" t="str">
        <f t="shared" si="2"/>
        <v>Cohort G</v>
      </c>
    </row>
    <row r="23" spans="1:11" ht="31.2" x14ac:dyDescent="0.3">
      <c r="A23" s="6">
        <v>22</v>
      </c>
      <c r="B23" s="6" t="s">
        <v>46</v>
      </c>
      <c r="C23" s="7">
        <v>45658</v>
      </c>
      <c r="D23" s="7">
        <v>45692</v>
      </c>
      <c r="E23" s="6" t="s">
        <v>38</v>
      </c>
      <c r="F23" s="7">
        <f>D23+30</f>
        <v>45722</v>
      </c>
      <c r="G23" s="6" t="s">
        <v>35</v>
      </c>
      <c r="H23" s="7">
        <v>45708</v>
      </c>
      <c r="I23" s="13" t="str">
        <f t="shared" si="0"/>
        <v>Not Retained</v>
      </c>
      <c r="J23" s="13" t="str">
        <f t="shared" si="1"/>
        <v>Retained</v>
      </c>
      <c r="K23" s="13" t="str">
        <f t="shared" si="2"/>
        <v>Cohort A</v>
      </c>
    </row>
    <row r="24" spans="1:11" ht="31.2" x14ac:dyDescent="0.3">
      <c r="A24" s="6">
        <v>23</v>
      </c>
      <c r="B24" s="6" t="s">
        <v>48</v>
      </c>
      <c r="C24" s="7">
        <v>45667</v>
      </c>
      <c r="D24" s="7">
        <v>45670</v>
      </c>
      <c r="E24" s="6" t="s">
        <v>36</v>
      </c>
      <c r="F24" s="7">
        <f>D24+7</f>
        <v>45677</v>
      </c>
      <c r="G24" s="6" t="s">
        <v>37</v>
      </c>
      <c r="H24" s="6"/>
      <c r="I24" s="13" t="str">
        <f t="shared" si="0"/>
        <v>Not Retained</v>
      </c>
      <c r="J24" s="13" t="str">
        <f t="shared" si="1"/>
        <v/>
      </c>
      <c r="K24" s="13" t="str">
        <f t="shared" si="2"/>
        <v>Cohort G</v>
      </c>
    </row>
    <row r="25" spans="1:11" ht="31.2" x14ac:dyDescent="0.3">
      <c r="A25" s="6">
        <v>24</v>
      </c>
      <c r="B25" s="6" t="s">
        <v>46</v>
      </c>
      <c r="C25" s="7">
        <v>45658</v>
      </c>
      <c r="D25" s="7">
        <v>45693</v>
      </c>
      <c r="E25" s="6" t="s">
        <v>42</v>
      </c>
      <c r="F25" s="7">
        <f>D25+60</f>
        <v>45753</v>
      </c>
      <c r="G25" s="6" t="s">
        <v>39</v>
      </c>
      <c r="H25" s="7">
        <v>45708</v>
      </c>
      <c r="I25" s="13" t="str">
        <f t="shared" si="0"/>
        <v>Not Retained</v>
      </c>
      <c r="J25" s="13" t="str">
        <f t="shared" si="1"/>
        <v>Retained</v>
      </c>
      <c r="K25" s="13" t="str">
        <f t="shared" si="2"/>
        <v>Cohort C</v>
      </c>
    </row>
    <row r="26" spans="1:11" x14ac:dyDescent="0.3">
      <c r="A26" s="6">
        <v>25</v>
      </c>
      <c r="B26" s="6" t="s">
        <v>47</v>
      </c>
      <c r="C26" s="7">
        <v>45672</v>
      </c>
      <c r="D26" s="7">
        <v>45674</v>
      </c>
      <c r="E26" s="6" t="s">
        <v>45</v>
      </c>
      <c r="F26" s="7">
        <f>D26+45</f>
        <v>45719</v>
      </c>
      <c r="G26" s="6" t="s">
        <v>35</v>
      </c>
      <c r="H26" s="7">
        <v>45698</v>
      </c>
      <c r="I26" s="13" t="str">
        <f t="shared" si="0"/>
        <v>Not Retained</v>
      </c>
      <c r="J26" s="13" t="str">
        <f t="shared" si="1"/>
        <v>Retained</v>
      </c>
      <c r="K26" s="13" t="str">
        <f t="shared" si="2"/>
        <v>Cohort A</v>
      </c>
    </row>
    <row r="27" spans="1:11" x14ac:dyDescent="0.3">
      <c r="A27" s="6">
        <v>26</v>
      </c>
      <c r="B27" s="6" t="s">
        <v>48</v>
      </c>
      <c r="C27" s="7">
        <v>45667</v>
      </c>
      <c r="D27" s="7">
        <v>45669</v>
      </c>
      <c r="E27" s="6" t="s">
        <v>41</v>
      </c>
      <c r="F27" s="7">
        <f>D27+10</f>
        <v>45679</v>
      </c>
      <c r="G27" s="6" t="s">
        <v>39</v>
      </c>
      <c r="H27" s="7">
        <v>45689</v>
      </c>
      <c r="I27" s="13" t="str">
        <f t="shared" si="0"/>
        <v>Not Retained</v>
      </c>
      <c r="J27" s="13" t="str">
        <f t="shared" si="1"/>
        <v>Retained</v>
      </c>
      <c r="K27" s="13" t="str">
        <f t="shared" si="2"/>
        <v>Cohort C</v>
      </c>
    </row>
    <row r="28" spans="1:11" ht="31.2" x14ac:dyDescent="0.3">
      <c r="A28" s="6">
        <v>27</v>
      </c>
      <c r="B28" s="6" t="s">
        <v>46</v>
      </c>
      <c r="C28" s="7">
        <v>45658</v>
      </c>
      <c r="D28" s="7">
        <v>45691</v>
      </c>
      <c r="E28" s="6" t="s">
        <v>44</v>
      </c>
      <c r="F28" s="7">
        <f>D28+50</f>
        <v>45741</v>
      </c>
      <c r="G28" s="6" t="s">
        <v>37</v>
      </c>
      <c r="H28" s="6"/>
      <c r="I28" s="13" t="str">
        <f t="shared" si="0"/>
        <v>Not Retained</v>
      </c>
      <c r="J28" s="13" t="str">
        <f t="shared" si="1"/>
        <v/>
      </c>
      <c r="K28" s="13" t="str">
        <f t="shared" si="2"/>
        <v>Cohort G</v>
      </c>
    </row>
    <row r="29" spans="1:11" ht="31.2" x14ac:dyDescent="0.3">
      <c r="A29" s="6">
        <v>28</v>
      </c>
      <c r="B29" s="6" t="s">
        <v>46</v>
      </c>
      <c r="C29" s="7">
        <v>45658</v>
      </c>
      <c r="D29" s="7">
        <v>45690</v>
      </c>
      <c r="E29" s="6" t="s">
        <v>40</v>
      </c>
      <c r="F29" s="7">
        <f>D29+30</f>
        <v>45720</v>
      </c>
      <c r="G29" s="6" t="s">
        <v>35</v>
      </c>
      <c r="H29" s="7">
        <v>45693</v>
      </c>
      <c r="I29" s="13" t="str">
        <f t="shared" si="0"/>
        <v>Retained</v>
      </c>
      <c r="J29" s="13" t="str">
        <f t="shared" si="1"/>
        <v/>
      </c>
      <c r="K29" s="13" t="str">
        <f t="shared" si="2"/>
        <v>Cohort A</v>
      </c>
    </row>
    <row r="30" spans="1:11" ht="31.2" x14ac:dyDescent="0.3">
      <c r="A30" s="6">
        <v>29</v>
      </c>
      <c r="B30" s="6" t="s">
        <v>47</v>
      </c>
      <c r="C30" s="7">
        <v>45672</v>
      </c>
      <c r="D30" s="7">
        <v>45675</v>
      </c>
      <c r="E30" s="6" t="s">
        <v>44</v>
      </c>
      <c r="F30" s="7">
        <f>D30+10</f>
        <v>45685</v>
      </c>
      <c r="G30" s="6" t="s">
        <v>37</v>
      </c>
      <c r="H30" s="6"/>
      <c r="I30" s="13" t="str">
        <f t="shared" si="0"/>
        <v>Not Retained</v>
      </c>
      <c r="J30" s="13" t="str">
        <f t="shared" si="1"/>
        <v/>
      </c>
      <c r="K30" s="13" t="str">
        <f t="shared" si="2"/>
        <v>Cohort G</v>
      </c>
    </row>
    <row r="31" spans="1:11" ht="31.2" x14ac:dyDescent="0.3">
      <c r="A31" s="6">
        <v>30</v>
      </c>
      <c r="B31" s="6" t="s">
        <v>48</v>
      </c>
      <c r="C31" s="7">
        <v>45667</v>
      </c>
      <c r="D31" s="7">
        <v>45670</v>
      </c>
      <c r="E31" s="6" t="s">
        <v>40</v>
      </c>
      <c r="F31" s="7">
        <f>D31+30</f>
        <v>45700</v>
      </c>
      <c r="G31" s="6" t="s">
        <v>37</v>
      </c>
      <c r="H31" s="6"/>
      <c r="I31" s="13" t="str">
        <f t="shared" si="0"/>
        <v>Not Retained</v>
      </c>
      <c r="J31" s="13" t="str">
        <f t="shared" si="1"/>
        <v/>
      </c>
      <c r="K31" s="13" t="str">
        <f t="shared" si="2"/>
        <v>Cohort G</v>
      </c>
    </row>
    <row r="32" spans="1:11" ht="31.2" x14ac:dyDescent="0.3">
      <c r="A32" s="6">
        <v>31</v>
      </c>
      <c r="B32" s="6" t="s">
        <v>46</v>
      </c>
      <c r="C32" s="7">
        <v>45658</v>
      </c>
      <c r="D32" s="7">
        <v>45692</v>
      </c>
      <c r="E32" s="6" t="s">
        <v>38</v>
      </c>
      <c r="F32" s="7">
        <f>D32+20</f>
        <v>45712</v>
      </c>
      <c r="G32" s="6" t="s">
        <v>35</v>
      </c>
      <c r="H32" s="7">
        <v>45698</v>
      </c>
      <c r="I32" s="13" t="str">
        <f t="shared" si="0"/>
        <v>Retained</v>
      </c>
      <c r="J32" s="13" t="str">
        <f t="shared" si="1"/>
        <v/>
      </c>
      <c r="K32" s="13" t="str">
        <f t="shared" si="2"/>
        <v>Cohort A</v>
      </c>
    </row>
    <row r="33" spans="1:11" ht="31.2" x14ac:dyDescent="0.3">
      <c r="A33" s="6">
        <v>32</v>
      </c>
      <c r="B33" s="6" t="s">
        <v>47</v>
      </c>
      <c r="C33" s="7">
        <v>45672</v>
      </c>
      <c r="D33" s="7">
        <v>45674</v>
      </c>
      <c r="E33" s="6" t="s">
        <v>36</v>
      </c>
      <c r="F33" s="7">
        <f>D33+15</f>
        <v>45689</v>
      </c>
      <c r="G33" s="6" t="s">
        <v>37</v>
      </c>
      <c r="H33" s="6"/>
      <c r="I33" s="13" t="str">
        <f t="shared" si="0"/>
        <v>Not Retained</v>
      </c>
      <c r="J33" s="13" t="str">
        <f t="shared" si="1"/>
        <v/>
      </c>
      <c r="K33" s="13" t="str">
        <f t="shared" si="2"/>
        <v>Cohort G</v>
      </c>
    </row>
    <row r="34" spans="1:11" ht="31.2" x14ac:dyDescent="0.3">
      <c r="A34" s="6">
        <v>33</v>
      </c>
      <c r="B34" s="6" t="s">
        <v>46</v>
      </c>
      <c r="C34" s="7">
        <v>45658</v>
      </c>
      <c r="D34" s="7">
        <v>45690</v>
      </c>
      <c r="E34" s="6" t="s">
        <v>42</v>
      </c>
      <c r="F34" s="7">
        <f>D34+25</f>
        <v>45715</v>
      </c>
      <c r="G34" s="6" t="s">
        <v>39</v>
      </c>
      <c r="H34" s="7">
        <v>45716</v>
      </c>
      <c r="I34" s="13" t="str">
        <f t="shared" si="0"/>
        <v>Not Retained</v>
      </c>
      <c r="J34" s="13" t="str">
        <f t="shared" si="1"/>
        <v>Retained</v>
      </c>
      <c r="K34" s="13" t="str">
        <f t="shared" si="2"/>
        <v>Cohort C</v>
      </c>
    </row>
    <row r="35" spans="1:11" x14ac:dyDescent="0.3">
      <c r="A35" s="6">
        <v>34</v>
      </c>
      <c r="B35" s="6" t="s">
        <v>47</v>
      </c>
      <c r="C35" s="7">
        <v>45672</v>
      </c>
      <c r="D35" s="7">
        <v>45673</v>
      </c>
      <c r="E35" s="6" t="s">
        <v>34</v>
      </c>
      <c r="F35" s="7">
        <f>D35+30</f>
        <v>45703</v>
      </c>
      <c r="G35" s="6" t="s">
        <v>35</v>
      </c>
      <c r="H35" s="7">
        <v>45690</v>
      </c>
      <c r="I35" s="13" t="str">
        <f t="shared" si="0"/>
        <v>Not Retained</v>
      </c>
      <c r="J35" s="13" t="str">
        <f t="shared" si="1"/>
        <v>Retained</v>
      </c>
      <c r="K35" s="13" t="str">
        <f t="shared" si="2"/>
        <v>Cohort A</v>
      </c>
    </row>
    <row r="36" spans="1:11" ht="31.2" x14ac:dyDescent="0.3">
      <c r="A36" s="6">
        <v>35</v>
      </c>
      <c r="B36" s="6" t="s">
        <v>46</v>
      </c>
      <c r="C36" s="7">
        <v>45658</v>
      </c>
      <c r="D36" s="7">
        <v>45691</v>
      </c>
      <c r="E36" s="6" t="s">
        <v>40</v>
      </c>
      <c r="F36" s="7">
        <f>D36+20</f>
        <v>45711</v>
      </c>
      <c r="G36" s="6" t="s">
        <v>37</v>
      </c>
      <c r="H36" s="6"/>
      <c r="I36" s="13" t="str">
        <f t="shared" si="0"/>
        <v>Not Retained</v>
      </c>
      <c r="J36" s="13" t="str">
        <f t="shared" si="1"/>
        <v/>
      </c>
      <c r="K36" s="13" t="str">
        <f t="shared" si="2"/>
        <v>Cohort G</v>
      </c>
    </row>
    <row r="37" spans="1:11" ht="31.2" x14ac:dyDescent="0.3">
      <c r="A37" s="6">
        <v>36</v>
      </c>
      <c r="B37" s="6" t="s">
        <v>48</v>
      </c>
      <c r="C37" s="7">
        <v>45667</v>
      </c>
      <c r="D37" s="7">
        <v>45670</v>
      </c>
      <c r="E37" s="6" t="s">
        <v>34</v>
      </c>
      <c r="F37" s="7">
        <f>D37+15</f>
        <v>45685</v>
      </c>
      <c r="G37" s="6" t="s">
        <v>37</v>
      </c>
      <c r="H37" s="6"/>
      <c r="I37" s="13" t="str">
        <f t="shared" si="0"/>
        <v>Not Retained</v>
      </c>
      <c r="J37" s="13" t="str">
        <f t="shared" si="1"/>
        <v/>
      </c>
      <c r="K37" s="13" t="str">
        <f t="shared" si="2"/>
        <v>Cohort G</v>
      </c>
    </row>
    <row r="38" spans="1:11" ht="31.2" x14ac:dyDescent="0.3">
      <c r="A38" s="6">
        <v>37</v>
      </c>
      <c r="B38" s="6" t="s">
        <v>46</v>
      </c>
      <c r="C38" s="7">
        <v>45658</v>
      </c>
      <c r="D38" s="7">
        <v>45690</v>
      </c>
      <c r="E38" s="6" t="s">
        <v>38</v>
      </c>
      <c r="F38" s="7">
        <f>D38+30</f>
        <v>45720</v>
      </c>
      <c r="G38" s="6" t="s">
        <v>35</v>
      </c>
      <c r="H38" s="7">
        <v>45703</v>
      </c>
      <c r="I38" s="13" t="str">
        <f t="shared" si="0"/>
        <v>Not Retained</v>
      </c>
      <c r="J38" s="13" t="str">
        <f t="shared" si="1"/>
        <v>Retained</v>
      </c>
      <c r="K38" s="13" t="str">
        <f t="shared" si="2"/>
        <v>Cohort A</v>
      </c>
    </row>
    <row r="39" spans="1:11" ht="31.2" x14ac:dyDescent="0.3">
      <c r="A39" s="6">
        <v>38</v>
      </c>
      <c r="B39" s="6" t="s">
        <v>47</v>
      </c>
      <c r="C39" s="7">
        <v>45672</v>
      </c>
      <c r="D39" s="7">
        <v>45675</v>
      </c>
      <c r="E39" s="6" t="s">
        <v>40</v>
      </c>
      <c r="F39" s="7">
        <f>D39+20</f>
        <v>45695</v>
      </c>
      <c r="G39" s="6" t="s">
        <v>37</v>
      </c>
      <c r="H39" s="6"/>
      <c r="I39" s="13" t="str">
        <f t="shared" si="0"/>
        <v>Not Retained</v>
      </c>
      <c r="J39" s="13" t="str">
        <f t="shared" si="1"/>
        <v/>
      </c>
      <c r="K39" s="13" t="str">
        <f t="shared" si="2"/>
        <v>Cohort G</v>
      </c>
    </row>
    <row r="40" spans="1:11" ht="31.2" x14ac:dyDescent="0.3">
      <c r="A40" s="6">
        <v>39</v>
      </c>
      <c r="B40" s="6" t="s">
        <v>46</v>
      </c>
      <c r="C40" s="7">
        <v>45658</v>
      </c>
      <c r="D40" s="7">
        <v>45692</v>
      </c>
      <c r="E40" s="6" t="s">
        <v>42</v>
      </c>
      <c r="F40" s="7">
        <f>D40+40</f>
        <v>45732</v>
      </c>
      <c r="G40" s="6" t="s">
        <v>39</v>
      </c>
      <c r="H40" s="7">
        <v>45713</v>
      </c>
      <c r="I40" s="13" t="str">
        <f t="shared" si="0"/>
        <v>Not Retained</v>
      </c>
      <c r="J40" s="13" t="str">
        <f t="shared" si="1"/>
        <v>Retained</v>
      </c>
      <c r="K40" s="13" t="str">
        <f t="shared" si="2"/>
        <v>Cohort C</v>
      </c>
    </row>
    <row r="41" spans="1:11" ht="31.2" x14ac:dyDescent="0.3">
      <c r="A41" s="6">
        <v>40</v>
      </c>
      <c r="B41" s="6" t="s">
        <v>47</v>
      </c>
      <c r="C41" s="7">
        <v>45672</v>
      </c>
      <c r="D41" s="7">
        <v>45673</v>
      </c>
      <c r="E41" s="6" t="s">
        <v>44</v>
      </c>
      <c r="F41" s="7">
        <f>D41+30</f>
        <v>45703</v>
      </c>
      <c r="G41" s="6" t="s">
        <v>37</v>
      </c>
      <c r="H41" s="6"/>
      <c r="I41" s="13" t="str">
        <f t="shared" si="0"/>
        <v>Not Retained</v>
      </c>
      <c r="J41" s="13" t="str">
        <f t="shared" si="1"/>
        <v/>
      </c>
      <c r="K41" s="13" t="str">
        <f t="shared" si="2"/>
        <v>Cohort G</v>
      </c>
    </row>
    <row r="42" spans="1:11" x14ac:dyDescent="0.3">
      <c r="A42" s="6">
        <v>41</v>
      </c>
      <c r="B42" s="6" t="s">
        <v>48</v>
      </c>
      <c r="C42" s="7">
        <v>45667</v>
      </c>
      <c r="D42" s="7">
        <v>45670</v>
      </c>
      <c r="E42" s="6" t="s">
        <v>36</v>
      </c>
      <c r="F42" s="7">
        <f>D42+15</f>
        <v>45685</v>
      </c>
      <c r="G42" s="6" t="s">
        <v>35</v>
      </c>
      <c r="H42" s="7">
        <v>45698</v>
      </c>
      <c r="I42" s="13" t="str">
        <f t="shared" si="0"/>
        <v>Not Retained</v>
      </c>
      <c r="J42" s="13" t="str">
        <f t="shared" si="1"/>
        <v>Retained</v>
      </c>
      <c r="K42" s="13" t="str">
        <f t="shared" si="2"/>
        <v>Cohort A</v>
      </c>
    </row>
    <row r="43" spans="1:11" ht="31.2" x14ac:dyDescent="0.3">
      <c r="A43" s="6">
        <v>42</v>
      </c>
      <c r="B43" s="6" t="s">
        <v>46</v>
      </c>
      <c r="C43" s="7">
        <v>45658</v>
      </c>
      <c r="D43" s="7">
        <v>45693</v>
      </c>
      <c r="E43" s="6" t="s">
        <v>34</v>
      </c>
      <c r="F43" s="7">
        <f>D43+30</f>
        <v>45723</v>
      </c>
      <c r="G43" s="6" t="s">
        <v>37</v>
      </c>
      <c r="H43" s="6"/>
      <c r="I43" s="13" t="str">
        <f t="shared" si="0"/>
        <v>Not Retained</v>
      </c>
      <c r="J43" s="13" t="str">
        <f t="shared" si="1"/>
        <v/>
      </c>
      <c r="K43" s="13" t="str">
        <f t="shared" si="2"/>
        <v>Cohort G</v>
      </c>
    </row>
    <row r="44" spans="1:11" x14ac:dyDescent="0.3">
      <c r="A44" s="6">
        <v>43</v>
      </c>
      <c r="B44" s="6" t="s">
        <v>47</v>
      </c>
      <c r="C44" s="7">
        <v>45672</v>
      </c>
      <c r="D44" s="7">
        <v>45674</v>
      </c>
      <c r="E44" s="6" t="s">
        <v>42</v>
      </c>
      <c r="F44" s="7">
        <f>D44+20</f>
        <v>45694</v>
      </c>
      <c r="G44" s="6" t="s">
        <v>39</v>
      </c>
      <c r="H44" s="7">
        <v>45699</v>
      </c>
      <c r="I44" s="13" t="str">
        <f t="shared" si="0"/>
        <v>Not Retained</v>
      </c>
      <c r="J44" s="13" t="str">
        <f t="shared" si="1"/>
        <v>Retained</v>
      </c>
      <c r="K44" s="13" t="str">
        <f t="shared" si="2"/>
        <v>Cohort C</v>
      </c>
    </row>
    <row r="45" spans="1:11" ht="31.2" x14ac:dyDescent="0.3">
      <c r="A45" s="6">
        <v>44</v>
      </c>
      <c r="B45" s="6" t="s">
        <v>46</v>
      </c>
      <c r="C45" s="7">
        <v>45658</v>
      </c>
      <c r="D45" s="7">
        <v>45692</v>
      </c>
      <c r="E45" s="6" t="s">
        <v>36</v>
      </c>
      <c r="F45" s="7">
        <f>D45+15</f>
        <v>45707</v>
      </c>
      <c r="G45" s="6" t="s">
        <v>37</v>
      </c>
      <c r="H45" s="6"/>
      <c r="I45" s="13" t="str">
        <f t="shared" si="0"/>
        <v>Not Retained</v>
      </c>
      <c r="J45" s="13" t="str">
        <f t="shared" si="1"/>
        <v/>
      </c>
      <c r="K45" s="13" t="str">
        <f t="shared" si="2"/>
        <v>Cohort G</v>
      </c>
    </row>
    <row r="46" spans="1:11" x14ac:dyDescent="0.3">
      <c r="A46" s="6">
        <v>45</v>
      </c>
      <c r="B46" s="6" t="s">
        <v>48</v>
      </c>
      <c r="C46" s="7">
        <v>45667</v>
      </c>
      <c r="D46" s="7">
        <v>45668</v>
      </c>
      <c r="E46" s="6" t="s">
        <v>43</v>
      </c>
      <c r="F46" s="7">
        <f>D46+30</f>
        <v>45698</v>
      </c>
      <c r="G46" s="6" t="s">
        <v>39</v>
      </c>
      <c r="H46" s="7">
        <v>45689</v>
      </c>
      <c r="I46" s="13" t="str">
        <f t="shared" si="0"/>
        <v>Not Retained</v>
      </c>
      <c r="J46" s="13" t="str">
        <f t="shared" si="1"/>
        <v>Retained</v>
      </c>
      <c r="K46" s="13" t="str">
        <f t="shared" si="2"/>
        <v>Cohort C</v>
      </c>
    </row>
    <row r="47" spans="1:11" ht="31.2" x14ac:dyDescent="0.3">
      <c r="A47" s="6">
        <v>46</v>
      </c>
      <c r="B47" s="6" t="s">
        <v>46</v>
      </c>
      <c r="C47" s="7">
        <v>45658</v>
      </c>
      <c r="D47" s="7">
        <v>45690</v>
      </c>
      <c r="E47" s="6" t="s">
        <v>41</v>
      </c>
      <c r="F47" s="7">
        <f>D47+30</f>
        <v>45720</v>
      </c>
      <c r="G47" s="6" t="s">
        <v>37</v>
      </c>
      <c r="H47" s="6"/>
      <c r="I47" s="13" t="str">
        <f t="shared" si="0"/>
        <v>Not Retained</v>
      </c>
      <c r="J47" s="13" t="str">
        <f t="shared" si="1"/>
        <v/>
      </c>
      <c r="K47" s="13" t="str">
        <f t="shared" si="2"/>
        <v>Cohort G</v>
      </c>
    </row>
    <row r="48" spans="1:11" ht="31.2" x14ac:dyDescent="0.3">
      <c r="A48" s="6">
        <v>47</v>
      </c>
      <c r="B48" s="6" t="s">
        <v>48</v>
      </c>
      <c r="C48" s="7">
        <v>45667</v>
      </c>
      <c r="D48" s="7">
        <v>45668</v>
      </c>
      <c r="E48" s="6" t="s">
        <v>34</v>
      </c>
      <c r="F48" s="7">
        <f>D48+7</f>
        <v>45675</v>
      </c>
      <c r="G48" s="6" t="s">
        <v>37</v>
      </c>
      <c r="H48" s="6"/>
      <c r="I48" s="13" t="str">
        <f t="shared" si="0"/>
        <v>Not Retained</v>
      </c>
      <c r="J48" s="13" t="str">
        <f t="shared" si="1"/>
        <v/>
      </c>
      <c r="K48" s="13" t="str">
        <f t="shared" si="2"/>
        <v>Cohort G</v>
      </c>
    </row>
    <row r="49" spans="1:11" ht="31.2" x14ac:dyDescent="0.3">
      <c r="A49" s="6">
        <v>48</v>
      </c>
      <c r="B49" s="6" t="s">
        <v>46</v>
      </c>
      <c r="C49" s="7">
        <v>45658</v>
      </c>
      <c r="D49" s="7">
        <v>45693</v>
      </c>
      <c r="E49" s="6" t="s">
        <v>44</v>
      </c>
      <c r="F49" s="7">
        <f>D49+25</f>
        <v>45718</v>
      </c>
      <c r="G49" s="6" t="s">
        <v>35</v>
      </c>
      <c r="H49" s="7">
        <v>45710</v>
      </c>
      <c r="I49" s="13" t="str">
        <f t="shared" si="0"/>
        <v>Not Retained</v>
      </c>
      <c r="J49" s="13" t="str">
        <f t="shared" si="1"/>
        <v>Retained</v>
      </c>
      <c r="K49" s="13" t="str">
        <f t="shared" si="2"/>
        <v>Cohort A</v>
      </c>
    </row>
    <row r="50" spans="1:11" x14ac:dyDescent="0.3">
      <c r="A50" s="6">
        <v>49</v>
      </c>
      <c r="B50" s="6" t="s">
        <v>47</v>
      </c>
      <c r="C50" s="7">
        <v>45672</v>
      </c>
      <c r="D50" s="7">
        <v>45674</v>
      </c>
      <c r="E50" s="6" t="s">
        <v>38</v>
      </c>
      <c r="F50" s="7">
        <f>D50+30</f>
        <v>45704</v>
      </c>
      <c r="G50" s="6" t="s">
        <v>39</v>
      </c>
      <c r="H50" s="7">
        <v>45689</v>
      </c>
      <c r="I50" s="13" t="str">
        <f t="shared" si="0"/>
        <v>Not Retained</v>
      </c>
      <c r="J50" s="13" t="str">
        <f t="shared" si="1"/>
        <v>Retained</v>
      </c>
      <c r="K50" s="13" t="str">
        <f t="shared" si="2"/>
        <v>Cohort C</v>
      </c>
    </row>
    <row r="51" spans="1:11" ht="31.2" x14ac:dyDescent="0.3">
      <c r="A51" s="6">
        <v>50</v>
      </c>
      <c r="B51" s="6" t="s">
        <v>46</v>
      </c>
      <c r="C51" s="7">
        <v>45658</v>
      </c>
      <c r="D51" s="7">
        <v>45692</v>
      </c>
      <c r="E51" s="6" t="s">
        <v>34</v>
      </c>
      <c r="F51" s="7">
        <f>D51+20</f>
        <v>45712</v>
      </c>
      <c r="G51" s="6" t="s">
        <v>35</v>
      </c>
      <c r="H51" s="7">
        <v>45698</v>
      </c>
      <c r="I51" s="13" t="str">
        <f t="shared" si="0"/>
        <v>Retained</v>
      </c>
      <c r="J51" s="13" t="str">
        <f t="shared" si="1"/>
        <v/>
      </c>
      <c r="K51" s="13" t="str">
        <f t="shared" si="2"/>
        <v>Cohort A</v>
      </c>
    </row>
  </sheetData>
  <autoFilter ref="A1:J51" xr:uid="{D787A939-DD20-4FA1-B960-50EE1FD77161}"/>
  <conditionalFormatting sqref="I1:J1048576">
    <cfRule type="cellIs" dxfId="1" priority="1" operator="equal">
      <formula>"Retained"</formula>
    </cfRule>
    <cfRule type="cellIs" dxfId="0" priority="2" operator="equal">
      <formula>"Not Retained"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Acquisition Based</vt:lpstr>
      <vt:lpstr>Behavioural 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Pannaga Kumar</dc:creator>
  <cp:lastModifiedBy>Pannaga Kumar</cp:lastModifiedBy>
  <dcterms:created xsi:type="dcterms:W3CDTF">2025-06-23T12:35:23Z</dcterms:created>
  <dcterms:modified xsi:type="dcterms:W3CDTF">2025-12-02T08:46:08Z</dcterms:modified>
</cp:coreProperties>
</file>