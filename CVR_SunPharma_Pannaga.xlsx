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f388541f059112/Dokumen/"/>
    </mc:Choice>
  </mc:AlternateContent>
  <xr:revisionPtr revIDLastSave="559" documentId="8_{62BD157F-4BAA-4FC0-9812-3611A970C394}" xr6:coauthVersionLast="47" xr6:coauthVersionMax="47" xr10:uidLastSave="{529FFA6B-E4AF-4BDB-8D60-993FFF1F7E74}"/>
  <bookViews>
    <workbookView xWindow="-108" yWindow="-108" windowWidth="23256" windowHeight="12456" firstSheet="3" activeTab="7" xr2:uid="{9C8B3BC4-EE37-4200-951A-147C157275CC}"/>
  </bookViews>
  <sheets>
    <sheet name="Name" sheetId="3" r:id="rId1"/>
    <sheet name="Base year &amp; 10 Year data" sheetId="4" r:id="rId2"/>
    <sheet name="Beta Calculation" sheetId="6" r:id="rId3"/>
    <sheet name="High Growth Phase" sheetId="5" r:id="rId4"/>
    <sheet name="Transition Phase" sheetId="7" r:id="rId5"/>
    <sheet name="Stable Phase" sheetId="8" r:id="rId6"/>
    <sheet name="Calculated WACC &amp; TV" sheetId="9" r:id="rId7"/>
    <sheet name="Value of Firm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C5" i="10"/>
  <c r="C4" i="10"/>
  <c r="C3" i="10"/>
  <c r="C2" i="10"/>
  <c r="B31" i="9"/>
  <c r="B21" i="9"/>
  <c r="B23" i="9" s="1"/>
  <c r="B14" i="9"/>
  <c r="B16" i="9" s="1"/>
  <c r="B5" i="9"/>
  <c r="B18" i="7"/>
  <c r="C18" i="7" s="1"/>
  <c r="B18" i="8" s="1"/>
  <c r="B18" i="5"/>
  <c r="C18" i="5" s="1"/>
  <c r="B17" i="5"/>
  <c r="B21" i="5" s="1"/>
  <c r="B15" i="5"/>
  <c r="B16" i="5" s="1"/>
  <c r="B14" i="5"/>
  <c r="C14" i="5" s="1"/>
  <c r="C20" i="5" s="1"/>
  <c r="G4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" i="6"/>
  <c r="B3" i="5"/>
  <c r="C32" i="5"/>
  <c r="D32" i="5"/>
  <c r="E32" i="5"/>
  <c r="F32" i="5"/>
  <c r="G32" i="5"/>
  <c r="H32" i="5"/>
  <c r="I32" i="5"/>
  <c r="J32" i="5"/>
  <c r="K32" i="5"/>
  <c r="B32" i="5"/>
  <c r="B9" i="5"/>
  <c r="C26" i="4"/>
  <c r="D26" i="4"/>
  <c r="E26" i="4"/>
  <c r="E9" i="4" s="1"/>
  <c r="E14" i="4" s="1"/>
  <c r="F26" i="4"/>
  <c r="F9" i="4" s="1"/>
  <c r="F14" i="4" s="1"/>
  <c r="G26" i="4"/>
  <c r="H26" i="4"/>
  <c r="I26" i="4"/>
  <c r="J26" i="4"/>
  <c r="J9" i="4" s="1"/>
  <c r="J14" i="4" s="1"/>
  <c r="K26" i="4"/>
  <c r="K9" i="4" s="1"/>
  <c r="K14" i="4" s="1"/>
  <c r="B26" i="4"/>
  <c r="C23" i="4"/>
  <c r="D23" i="4"/>
  <c r="E23" i="4"/>
  <c r="F23" i="4"/>
  <c r="G23" i="4"/>
  <c r="H23" i="4"/>
  <c r="I23" i="4"/>
  <c r="J23" i="4"/>
  <c r="K23" i="4"/>
  <c r="B23" i="4"/>
  <c r="B9" i="10" l="1"/>
  <c r="B14" i="7"/>
  <c r="D9" i="4"/>
  <c r="D14" i="4" s="1"/>
  <c r="C9" i="4"/>
  <c r="C14" i="4" s="1"/>
  <c r="B9" i="4"/>
  <c r="B14" i="4" s="1"/>
  <c r="I9" i="4"/>
  <c r="I14" i="4" s="1"/>
  <c r="H9" i="4"/>
  <c r="H14" i="4" s="1"/>
  <c r="B20" i="5"/>
  <c r="B22" i="5" s="1"/>
  <c r="B24" i="5" s="1"/>
  <c r="C15" i="5"/>
  <c r="C17" i="5"/>
  <c r="G9" i="4"/>
  <c r="G14" i="4" s="1"/>
  <c r="B4" i="5"/>
  <c r="B9" i="9" s="1"/>
  <c r="C21" i="5" l="1"/>
  <c r="B17" i="7"/>
  <c r="C16" i="5"/>
  <c r="B15" i="7"/>
  <c r="C14" i="7"/>
  <c r="B20" i="7"/>
  <c r="B22" i="7" s="1"/>
  <c r="C22" i="5"/>
  <c r="B16" i="7" l="1"/>
  <c r="C15" i="7"/>
  <c r="C24" i="5"/>
  <c r="C20" i="7"/>
  <c r="C22" i="7" s="1"/>
  <c r="B14" i="8"/>
  <c r="B20" i="8" s="1"/>
  <c r="B22" i="8" s="1"/>
  <c r="B21" i="7"/>
  <c r="C17" i="7"/>
  <c r="B17" i="8" l="1"/>
  <c r="B21" i="8" s="1"/>
  <c r="C21" i="7"/>
  <c r="C16" i="7"/>
  <c r="C24" i="7" s="1"/>
  <c r="B15" i="8"/>
  <c r="B16" i="8" s="1"/>
  <c r="B24" i="7"/>
  <c r="B24" i="8" l="1"/>
  <c r="B29" i="9" s="1"/>
</calcChain>
</file>

<file path=xl/sharedStrings.xml><?xml version="1.0" encoding="utf-8"?>
<sst xmlns="http://schemas.openxmlformats.org/spreadsheetml/2006/main" count="148" uniqueCount="98">
  <si>
    <t>EBIT</t>
  </si>
  <si>
    <t>Change in Net Working Capital</t>
  </si>
  <si>
    <t>Cost of Debt</t>
  </si>
  <si>
    <t>Market Risk Premium</t>
  </si>
  <si>
    <t>Equity Beta</t>
  </si>
  <si>
    <t>WACC</t>
  </si>
  <si>
    <t>Terminal Value</t>
  </si>
  <si>
    <t xml:space="preserve">Name </t>
  </si>
  <si>
    <t>Course</t>
  </si>
  <si>
    <t>Corporate Valuation and Restructuring</t>
  </si>
  <si>
    <t>Company Taken</t>
  </si>
  <si>
    <t>Company Stage</t>
  </si>
  <si>
    <t>Model Followed</t>
  </si>
  <si>
    <t>Pannaga A Kumar</t>
  </si>
  <si>
    <t xml:space="preserve">Sun Pharmaceutical Industries Ltd. </t>
  </si>
  <si>
    <t xml:space="preserve">Growth Company </t>
  </si>
  <si>
    <t>3 Stage Model</t>
  </si>
  <si>
    <t>(in crores)</t>
  </si>
  <si>
    <t>Revenues</t>
  </si>
  <si>
    <t xml:space="preserve">EBIT </t>
  </si>
  <si>
    <t>Capital Expenditure</t>
  </si>
  <si>
    <t>Depreciation</t>
  </si>
  <si>
    <t xml:space="preserve">Net Working Capital </t>
  </si>
  <si>
    <t>Corporate Tax Rate</t>
  </si>
  <si>
    <t>Paid Up Equity Capital</t>
  </si>
  <si>
    <t>Operating Profit Margin (%)</t>
  </si>
  <si>
    <t>NWC as % of Revenues</t>
  </si>
  <si>
    <t>Calculation of Net Working Capital</t>
  </si>
  <si>
    <t xml:space="preserve">Current Liabilities </t>
  </si>
  <si>
    <t>CWIP</t>
  </si>
  <si>
    <t>Current Assets</t>
  </si>
  <si>
    <t>Borrowings </t>
  </si>
  <si>
    <t>Other Liabilities </t>
  </si>
  <si>
    <t>Other Assets </t>
  </si>
  <si>
    <t xml:space="preserve">Length of High Growth Phase </t>
  </si>
  <si>
    <t>Growth Rate for revenues, depreciation, EBIT, CapEx</t>
  </si>
  <si>
    <t>Cost of debt</t>
  </si>
  <si>
    <t>Debt-equity Ratio</t>
  </si>
  <si>
    <t>Risk Free Rate</t>
  </si>
  <si>
    <t>High Growth Phase</t>
  </si>
  <si>
    <t>EBIT (1-TAX %)</t>
  </si>
  <si>
    <t>CapEx</t>
  </si>
  <si>
    <t>Net Working Capital as % of Revenues</t>
  </si>
  <si>
    <t>Net Working Capital</t>
  </si>
  <si>
    <t>CapEx - Depreciation'</t>
  </si>
  <si>
    <t>FCFF</t>
  </si>
  <si>
    <t>Assumptions</t>
  </si>
  <si>
    <t>Interest</t>
  </si>
  <si>
    <t>Borrowings</t>
  </si>
  <si>
    <t>Cost of Debt Calculation</t>
  </si>
  <si>
    <t>Base Year ratio</t>
  </si>
  <si>
    <t>Assumed</t>
  </si>
  <si>
    <t>Average of historical taxes</t>
  </si>
  <si>
    <t>Average of historical Cost of Debt</t>
  </si>
  <si>
    <t>Historical growth rate formula</t>
  </si>
  <si>
    <t>2 Years</t>
  </si>
  <si>
    <t xml:space="preserve">Date </t>
  </si>
  <si>
    <t xml:space="preserve">NIFTY Close </t>
  </si>
  <si>
    <t>Return</t>
  </si>
  <si>
    <t>SunPharma Close</t>
  </si>
  <si>
    <t>Beta</t>
  </si>
  <si>
    <t>Stable Growth Phase</t>
  </si>
  <si>
    <t>Rate fixed</t>
  </si>
  <si>
    <t xml:space="preserve">Length of Transition Phase </t>
  </si>
  <si>
    <t>Likely to increase due to expansion</t>
  </si>
  <si>
    <t>Based on 10 year Government bond yield</t>
  </si>
  <si>
    <t>Standard</t>
  </si>
  <si>
    <t>Company has low leverage</t>
  </si>
  <si>
    <t>Estimated</t>
  </si>
  <si>
    <t>Calculated (based on 1 year historical for 10 years historical)</t>
  </si>
  <si>
    <t>Decreases 2% every year</t>
  </si>
  <si>
    <t>Geomean of 10 years GDP growth</t>
  </si>
  <si>
    <t>Market interest rate</t>
  </si>
  <si>
    <t>Fixed</t>
  </si>
  <si>
    <t>Standard for Pharma companies</t>
  </si>
  <si>
    <t>High Growth Cost of Equity Calculation</t>
  </si>
  <si>
    <t xml:space="preserve">Cost of equity </t>
  </si>
  <si>
    <t>Stable Growth Cost of Equity Calculation</t>
  </si>
  <si>
    <t>Present Value of FCFF</t>
  </si>
  <si>
    <t>Present Value of Terminal Value</t>
  </si>
  <si>
    <t>crores</t>
  </si>
  <si>
    <t>Cost of Equity =  Risk free rate + Beta*(Market Risk Premium)</t>
  </si>
  <si>
    <t>Transition Phase Cost of Equity Calculation</t>
  </si>
  <si>
    <t xml:space="preserve">Value of Firm </t>
  </si>
  <si>
    <t>Transition Phase</t>
  </si>
  <si>
    <t>Year</t>
  </si>
  <si>
    <t>Screener.in</t>
  </si>
  <si>
    <t>Moneycontrol</t>
  </si>
  <si>
    <t>Focusguru</t>
  </si>
  <si>
    <t>Websites Used</t>
  </si>
  <si>
    <t>NSE</t>
  </si>
  <si>
    <t>7 sheets (Base year &amp; 10 year data; Calculation of Beta; High Growth Phase; Transition Phase; Stable Growth Phase; Calculation of Cost of Equity, WACC, PV of FCFF, TV, and PV of TV;  Value of Firm)</t>
  </si>
  <si>
    <t>No. of Sheets</t>
  </si>
  <si>
    <t>March 2024 (Base Year)</t>
  </si>
  <si>
    <t>FCFF 
(₹ crores)</t>
  </si>
  <si>
    <t>Discounted Value 
(₹ crores)</t>
  </si>
  <si>
    <t>[(equity/value of firm)*(cost of equity)]+[(value of debt/value of firm)*(cost of debt)*(1-Tax)]</t>
  </si>
  <si>
    <t>[FCFF*(1+ Growth rate)]/[(WACC-Growth rate)]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</si>
</sst>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2222F"/>
      <name val="Times New Roman"/>
      <family val="1"/>
    </font>
    <font>
      <b/>
      <sz val="11"/>
      <color rgb="FF22222F"/>
      <name val="Times New Roman"/>
      <family val="1"/>
    </font>
    <font>
      <b/>
      <u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5" borderId="1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10" fontId="2" fillId="7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8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C3F0-AE35-45AC-8E13-FE3287563821}">
  <dimension ref="B7:C20"/>
  <sheetViews>
    <sheetView workbookViewId="0">
      <selection activeCell="C22" sqref="C22"/>
    </sheetView>
  </sheetViews>
  <sheetFormatPr defaultRowHeight="13.8" x14ac:dyDescent="0.3"/>
  <cols>
    <col min="1" max="1" width="8.88671875" style="12"/>
    <col min="2" max="2" width="24.77734375" style="12" bestFit="1" customWidth="1"/>
    <col min="3" max="3" width="80.5546875" style="12" bestFit="1" customWidth="1"/>
    <col min="4" max="16384" width="8.88671875" style="12"/>
  </cols>
  <sheetData>
    <row r="7" spans="2:3" x14ac:dyDescent="0.3">
      <c r="B7" s="11" t="s">
        <v>7</v>
      </c>
      <c r="C7" s="15" t="s">
        <v>13</v>
      </c>
    </row>
    <row r="8" spans="2:3" x14ac:dyDescent="0.3">
      <c r="B8" s="11" t="s">
        <v>8</v>
      </c>
      <c r="C8" s="12" t="s">
        <v>9</v>
      </c>
    </row>
    <row r="9" spans="2:3" x14ac:dyDescent="0.3">
      <c r="B9" s="11"/>
    </row>
    <row r="11" spans="2:3" x14ac:dyDescent="0.3">
      <c r="B11" s="11" t="s">
        <v>10</v>
      </c>
      <c r="C11" s="12" t="s">
        <v>14</v>
      </c>
    </row>
    <row r="12" spans="2:3" x14ac:dyDescent="0.3">
      <c r="B12" s="11" t="s">
        <v>11</v>
      </c>
      <c r="C12" s="12" t="s">
        <v>15</v>
      </c>
    </row>
    <row r="13" spans="2:3" x14ac:dyDescent="0.3">
      <c r="B13" s="11" t="s">
        <v>12</v>
      </c>
      <c r="C13" s="12" t="s">
        <v>16</v>
      </c>
    </row>
    <row r="15" spans="2:3" x14ac:dyDescent="0.3">
      <c r="B15" s="11" t="s">
        <v>89</v>
      </c>
      <c r="C15" s="12" t="s">
        <v>86</v>
      </c>
    </row>
    <row r="16" spans="2:3" x14ac:dyDescent="0.3">
      <c r="C16" s="12" t="s">
        <v>87</v>
      </c>
    </row>
    <row r="17" spans="2:3" x14ac:dyDescent="0.3">
      <c r="C17" s="12" t="s">
        <v>88</v>
      </c>
    </row>
    <row r="18" spans="2:3" x14ac:dyDescent="0.3">
      <c r="C18" s="12" t="s">
        <v>90</v>
      </c>
    </row>
    <row r="20" spans="2:3" ht="41.4" x14ac:dyDescent="0.3">
      <c r="B20" s="11" t="s">
        <v>92</v>
      </c>
      <c r="C20" s="9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6E23-045A-4B8A-8C2B-1E0025B57B8B}">
  <dimension ref="A1:N26"/>
  <sheetViews>
    <sheetView workbookViewId="0">
      <selection activeCell="K4" sqref="K4"/>
    </sheetView>
  </sheetViews>
  <sheetFormatPr defaultRowHeight="13.8" x14ac:dyDescent="0.3"/>
  <cols>
    <col min="1" max="1" width="32.44140625" style="8" bestFit="1" customWidth="1"/>
    <col min="2" max="10" width="9.109375" style="12" bestFit="1" customWidth="1"/>
    <col min="11" max="11" width="13.88671875" style="12" customWidth="1"/>
    <col min="12" max="16384" width="8.88671875" style="12"/>
  </cols>
  <sheetData>
    <row r="1" spans="1:13" x14ac:dyDescent="0.3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3" x14ac:dyDescent="0.3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3" ht="27.6" x14ac:dyDescent="0.3">
      <c r="A3" s="54"/>
      <c r="B3" s="55">
        <v>42339</v>
      </c>
      <c r="C3" s="55">
        <v>42705</v>
      </c>
      <c r="D3" s="55">
        <v>43070</v>
      </c>
      <c r="E3" s="55">
        <v>43435</v>
      </c>
      <c r="F3" s="55">
        <v>43800</v>
      </c>
      <c r="G3" s="55">
        <v>44166</v>
      </c>
      <c r="H3" s="55">
        <v>44531</v>
      </c>
      <c r="I3" s="55">
        <v>44896</v>
      </c>
      <c r="J3" s="55">
        <v>44986</v>
      </c>
      <c r="K3" s="58" t="s">
        <v>93</v>
      </c>
    </row>
    <row r="4" spans="1:13" x14ac:dyDescent="0.3">
      <c r="A4" s="56"/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3" x14ac:dyDescent="0.3">
      <c r="A5" s="56" t="s">
        <v>18</v>
      </c>
      <c r="B5" s="4">
        <v>27392</v>
      </c>
      <c r="C5" s="4">
        <v>28487</v>
      </c>
      <c r="D5" s="4">
        <v>31578</v>
      </c>
      <c r="E5" s="4">
        <v>26489</v>
      </c>
      <c r="F5" s="4">
        <v>29066</v>
      </c>
      <c r="G5" s="4">
        <v>32838</v>
      </c>
      <c r="H5" s="4">
        <v>33498</v>
      </c>
      <c r="I5" s="4">
        <v>38654</v>
      </c>
      <c r="J5" s="4">
        <v>43886</v>
      </c>
      <c r="K5" s="4">
        <v>48497</v>
      </c>
    </row>
    <row r="6" spans="1:13" x14ac:dyDescent="0.3">
      <c r="A6" s="56" t="s">
        <v>19</v>
      </c>
      <c r="B6" s="4">
        <v>7894</v>
      </c>
      <c r="C6" s="4">
        <v>8174</v>
      </c>
      <c r="D6" s="4">
        <v>10102</v>
      </c>
      <c r="E6" s="4">
        <v>5631</v>
      </c>
      <c r="F6" s="4">
        <v>6377</v>
      </c>
      <c r="G6" s="4">
        <v>6983</v>
      </c>
      <c r="H6" s="4">
        <v>8470</v>
      </c>
      <c r="I6" s="4">
        <v>10258</v>
      </c>
      <c r="J6" s="4">
        <v>11650</v>
      </c>
      <c r="K6" s="4">
        <v>13018</v>
      </c>
      <c r="L6" s="1"/>
    </row>
    <row r="7" spans="1:13" x14ac:dyDescent="0.3">
      <c r="A7" s="56" t="s">
        <v>20</v>
      </c>
      <c r="B7" s="4">
        <v>-2350</v>
      </c>
      <c r="C7" s="4">
        <v>-3404</v>
      </c>
      <c r="D7" s="4">
        <v>-3693</v>
      </c>
      <c r="E7" s="4">
        <v>-1961</v>
      </c>
      <c r="F7" s="4">
        <v>-3213</v>
      </c>
      <c r="G7" s="4">
        <v>-1542</v>
      </c>
      <c r="H7" s="4">
        <v>-1170</v>
      </c>
      <c r="I7" s="4">
        <v>-1495</v>
      </c>
      <c r="J7" s="4">
        <v>-2086</v>
      </c>
      <c r="K7" s="4">
        <v>-2202</v>
      </c>
    </row>
    <row r="8" spans="1:13" x14ac:dyDescent="0.3">
      <c r="A8" s="56" t="s">
        <v>21</v>
      </c>
      <c r="B8" s="4">
        <v>1195</v>
      </c>
      <c r="C8" s="4">
        <v>1038</v>
      </c>
      <c r="D8" s="4">
        <v>1265</v>
      </c>
      <c r="E8" s="4">
        <v>1500</v>
      </c>
      <c r="F8" s="4">
        <v>1753</v>
      </c>
      <c r="G8" s="4">
        <v>2053</v>
      </c>
      <c r="H8" s="4">
        <v>2080</v>
      </c>
      <c r="I8" s="4">
        <v>2144</v>
      </c>
      <c r="J8" s="4">
        <v>2529</v>
      </c>
      <c r="K8" s="4">
        <v>2557</v>
      </c>
    </row>
    <row r="9" spans="1:13" x14ac:dyDescent="0.3">
      <c r="A9" s="56" t="s">
        <v>22</v>
      </c>
      <c r="B9" s="41">
        <f>B26-B23</f>
        <v>10240</v>
      </c>
      <c r="C9" s="41">
        <f t="shared" ref="C9:K9" si="0">C26-C23</f>
        <v>15280</v>
      </c>
      <c r="D9" s="41">
        <f t="shared" si="0"/>
        <v>17772</v>
      </c>
      <c r="E9" s="41">
        <f t="shared" si="0"/>
        <v>12319</v>
      </c>
      <c r="F9" s="41">
        <f t="shared" si="0"/>
        <v>11670</v>
      </c>
      <c r="G9" s="41">
        <f t="shared" si="0"/>
        <v>12274</v>
      </c>
      <c r="H9" s="41">
        <f t="shared" si="0"/>
        <v>15297</v>
      </c>
      <c r="I9" s="41">
        <f t="shared" si="0"/>
        <v>12498</v>
      </c>
      <c r="J9" s="41">
        <f t="shared" si="0"/>
        <v>17105</v>
      </c>
      <c r="K9" s="41">
        <f t="shared" si="0"/>
        <v>25430</v>
      </c>
    </row>
    <row r="10" spans="1:13" x14ac:dyDescent="0.3">
      <c r="A10" s="56" t="s">
        <v>23</v>
      </c>
      <c r="B10" s="5">
        <v>0.14000000000000001</v>
      </c>
      <c r="C10" s="5">
        <v>0.14000000000000001</v>
      </c>
      <c r="D10" s="5">
        <v>0.13</v>
      </c>
      <c r="E10" s="5">
        <v>0.26</v>
      </c>
      <c r="F10" s="5">
        <v>0.16</v>
      </c>
      <c r="G10" s="5">
        <v>0.16</v>
      </c>
      <c r="H10" s="5">
        <v>0.18</v>
      </c>
      <c r="I10" s="5">
        <v>0.24</v>
      </c>
      <c r="J10" s="5">
        <v>0.09</v>
      </c>
      <c r="K10" s="5">
        <v>0.13</v>
      </c>
    </row>
    <row r="11" spans="1:13" x14ac:dyDescent="0.3">
      <c r="A11" s="56" t="s">
        <v>24</v>
      </c>
      <c r="B11" s="6">
        <v>207</v>
      </c>
      <c r="C11" s="6">
        <v>241</v>
      </c>
      <c r="D11" s="6">
        <v>240</v>
      </c>
      <c r="E11" s="6">
        <v>240</v>
      </c>
      <c r="F11" s="6">
        <v>240</v>
      </c>
      <c r="G11" s="6">
        <v>240</v>
      </c>
      <c r="H11" s="6">
        <v>240</v>
      </c>
      <c r="I11" s="6">
        <v>240</v>
      </c>
      <c r="J11" s="6">
        <v>240</v>
      </c>
      <c r="K11" s="6">
        <v>240</v>
      </c>
    </row>
    <row r="12" spans="1:13" x14ac:dyDescent="0.3">
      <c r="A12" s="56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3" x14ac:dyDescent="0.3">
      <c r="A13" s="56" t="s">
        <v>25</v>
      </c>
      <c r="B13" s="5">
        <v>0.28999999999999998</v>
      </c>
      <c r="C13" s="5">
        <v>0.28999999999999998</v>
      </c>
      <c r="D13" s="5">
        <v>0.32</v>
      </c>
      <c r="E13" s="5">
        <v>0.21</v>
      </c>
      <c r="F13" s="5">
        <v>0.22</v>
      </c>
      <c r="G13" s="5">
        <v>0.21</v>
      </c>
      <c r="H13" s="5">
        <v>0.25</v>
      </c>
      <c r="I13" s="5">
        <v>0.27</v>
      </c>
      <c r="J13" s="5">
        <v>0.27</v>
      </c>
      <c r="K13" s="5">
        <v>0.27</v>
      </c>
    </row>
    <row r="14" spans="1:13" x14ac:dyDescent="0.3">
      <c r="A14" s="56" t="s">
        <v>26</v>
      </c>
      <c r="B14" s="51">
        <f>B9/B5</f>
        <v>0.37383177570093457</v>
      </c>
      <c r="C14" s="51">
        <f t="shared" ref="C14:K14" si="1">C9/C5</f>
        <v>0.53638501772738445</v>
      </c>
      <c r="D14" s="51">
        <f t="shared" si="1"/>
        <v>0.56279688390651716</v>
      </c>
      <c r="E14" s="51">
        <f t="shared" si="1"/>
        <v>0.46506096870399033</v>
      </c>
      <c r="F14" s="51">
        <f t="shared" si="1"/>
        <v>0.40150003440445881</v>
      </c>
      <c r="G14" s="51">
        <f t="shared" si="1"/>
        <v>0.37377428588830014</v>
      </c>
      <c r="H14" s="51">
        <f t="shared" si="1"/>
        <v>0.45665412860469284</v>
      </c>
      <c r="I14" s="51">
        <f t="shared" si="1"/>
        <v>0.3233300563977855</v>
      </c>
      <c r="J14" s="51">
        <f t="shared" si="1"/>
        <v>0.38975983229275851</v>
      </c>
      <c r="K14" s="51">
        <f t="shared" si="1"/>
        <v>0.52436233169062008</v>
      </c>
    </row>
    <row r="15" spans="1:13" x14ac:dyDescent="0.3">
      <c r="B15" s="36"/>
      <c r="C15" s="36"/>
      <c r="D15" s="36"/>
      <c r="E15" s="36"/>
      <c r="F15" s="36"/>
      <c r="G15" s="36"/>
      <c r="H15" s="36"/>
      <c r="I15" s="36"/>
      <c r="J15" s="36"/>
      <c r="K15" s="36"/>
      <c r="M15" s="36"/>
    </row>
    <row r="20" spans="1:14" x14ac:dyDescent="0.3">
      <c r="A20" s="8" t="s">
        <v>27</v>
      </c>
    </row>
    <row r="21" spans="1:14" x14ac:dyDescent="0.3">
      <c r="A21" s="1" t="s">
        <v>31</v>
      </c>
      <c r="B21" s="2">
        <v>8996</v>
      </c>
      <c r="C21" s="2">
        <v>8497</v>
      </c>
      <c r="D21" s="2">
        <v>9832</v>
      </c>
      <c r="E21" s="2">
        <v>10385</v>
      </c>
      <c r="F21" s="2">
        <v>10514</v>
      </c>
      <c r="G21" s="2">
        <v>8315</v>
      </c>
      <c r="H21" s="2">
        <v>3869</v>
      </c>
      <c r="I21" s="2">
        <v>1290</v>
      </c>
      <c r="J21" s="2">
        <v>6886</v>
      </c>
      <c r="K21" s="2">
        <v>3274</v>
      </c>
      <c r="L21" s="2"/>
    </row>
    <row r="22" spans="1:14" x14ac:dyDescent="0.3">
      <c r="A22" s="1" t="s">
        <v>32</v>
      </c>
      <c r="B22" s="2">
        <v>14089</v>
      </c>
      <c r="C22" s="2">
        <v>13948</v>
      </c>
      <c r="D22" s="2">
        <v>14624</v>
      </c>
      <c r="E22" s="2">
        <v>15598</v>
      </c>
      <c r="F22" s="2">
        <v>12666</v>
      </c>
      <c r="G22" s="2">
        <v>14615</v>
      </c>
      <c r="H22" s="2">
        <v>17291</v>
      </c>
      <c r="I22" s="2">
        <v>20474</v>
      </c>
      <c r="J22" s="2">
        <v>17831</v>
      </c>
      <c r="K22" s="2">
        <v>18367</v>
      </c>
    </row>
    <row r="23" spans="1:14" x14ac:dyDescent="0.3">
      <c r="A23" s="8" t="s">
        <v>28</v>
      </c>
      <c r="B23" s="57">
        <f>B21+B22</f>
        <v>23085</v>
      </c>
      <c r="C23" s="57">
        <f t="shared" ref="C23:K23" si="2">C21+C22</f>
        <v>22445</v>
      </c>
      <c r="D23" s="57">
        <f t="shared" si="2"/>
        <v>24456</v>
      </c>
      <c r="E23" s="57">
        <f t="shared" si="2"/>
        <v>25983</v>
      </c>
      <c r="F23" s="57">
        <f t="shared" si="2"/>
        <v>23180</v>
      </c>
      <c r="G23" s="57">
        <f t="shared" si="2"/>
        <v>22930</v>
      </c>
      <c r="H23" s="57">
        <f t="shared" si="2"/>
        <v>21160</v>
      </c>
      <c r="I23" s="57">
        <f t="shared" si="2"/>
        <v>21764</v>
      </c>
      <c r="J23" s="57">
        <f t="shared" si="2"/>
        <v>24717</v>
      </c>
      <c r="K23" s="57">
        <f t="shared" si="2"/>
        <v>21641</v>
      </c>
    </row>
    <row r="24" spans="1:14" x14ac:dyDescent="0.3">
      <c r="A24" s="1" t="s">
        <v>29</v>
      </c>
      <c r="B24" s="2">
        <v>2039</v>
      </c>
      <c r="C24" s="2">
        <v>2175</v>
      </c>
      <c r="D24" s="2">
        <v>2801</v>
      </c>
      <c r="E24" s="2">
        <v>2465</v>
      </c>
      <c r="F24" s="2">
        <v>1411</v>
      </c>
      <c r="G24" s="2">
        <v>1220</v>
      </c>
      <c r="H24" s="2">
        <v>1567</v>
      </c>
      <c r="I24" s="2">
        <v>1287</v>
      </c>
      <c r="J24" s="2">
        <v>4973</v>
      </c>
      <c r="K24" s="2">
        <v>5354</v>
      </c>
      <c r="N24" s="1"/>
    </row>
    <row r="25" spans="1:14" x14ac:dyDescent="0.3">
      <c r="A25" s="1" t="s">
        <v>33</v>
      </c>
      <c r="B25" s="2">
        <v>31286</v>
      </c>
      <c r="C25" s="2">
        <v>35550</v>
      </c>
      <c r="D25" s="2">
        <v>39427</v>
      </c>
      <c r="E25" s="2">
        <v>35837</v>
      </c>
      <c r="F25" s="2">
        <v>33439</v>
      </c>
      <c r="G25" s="2">
        <v>33984</v>
      </c>
      <c r="H25" s="2">
        <v>34890</v>
      </c>
      <c r="I25" s="2">
        <v>32975</v>
      </c>
      <c r="J25" s="2">
        <v>36849</v>
      </c>
      <c r="K25" s="2">
        <v>41717</v>
      </c>
      <c r="N25" s="1"/>
    </row>
    <row r="26" spans="1:14" x14ac:dyDescent="0.3">
      <c r="A26" s="3" t="s">
        <v>30</v>
      </c>
      <c r="B26" s="57">
        <f>B24+B25</f>
        <v>33325</v>
      </c>
      <c r="C26" s="57">
        <f t="shared" ref="C26:K26" si="3">C24+C25</f>
        <v>37725</v>
      </c>
      <c r="D26" s="57">
        <f t="shared" si="3"/>
        <v>42228</v>
      </c>
      <c r="E26" s="57">
        <f t="shared" si="3"/>
        <v>38302</v>
      </c>
      <c r="F26" s="57">
        <f t="shared" si="3"/>
        <v>34850</v>
      </c>
      <c r="G26" s="57">
        <f t="shared" si="3"/>
        <v>35204</v>
      </c>
      <c r="H26" s="57">
        <f t="shared" si="3"/>
        <v>36457</v>
      </c>
      <c r="I26" s="57">
        <f t="shared" si="3"/>
        <v>34262</v>
      </c>
      <c r="J26" s="57">
        <f t="shared" si="3"/>
        <v>41822</v>
      </c>
      <c r="K26" s="57">
        <f t="shared" si="3"/>
        <v>47071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D2E8-8171-4DBB-8018-85638C83A6A3}">
  <dimension ref="A1:G248"/>
  <sheetViews>
    <sheetView workbookViewId="0">
      <selection activeCell="E18" sqref="E18"/>
    </sheetView>
  </sheetViews>
  <sheetFormatPr defaultRowHeight="13.8" x14ac:dyDescent="0.3"/>
  <cols>
    <col min="1" max="1" width="10" style="12" bestFit="1" customWidth="1"/>
    <col min="2" max="2" width="16.5546875" style="12" bestFit="1" customWidth="1"/>
    <col min="3" max="3" width="12.77734375" style="12" bestFit="1" customWidth="1"/>
    <col min="4" max="4" width="13.109375" style="12" bestFit="1" customWidth="1"/>
    <col min="5" max="5" width="8.88671875" style="12"/>
    <col min="6" max="6" width="4.88671875" style="12" bestFit="1" customWidth="1"/>
    <col min="7" max="7" width="12" style="12" bestFit="1" customWidth="1"/>
    <col min="8" max="16384" width="8.88671875" style="12"/>
  </cols>
  <sheetData>
    <row r="1" spans="1:7" s="11" customFormat="1" x14ac:dyDescent="0.3">
      <c r="A1" s="11" t="s">
        <v>56</v>
      </c>
      <c r="B1" s="11" t="s">
        <v>59</v>
      </c>
      <c r="C1" s="11" t="s">
        <v>57</v>
      </c>
      <c r="D1" s="11" t="s">
        <v>58</v>
      </c>
    </row>
    <row r="2" spans="1:7" x14ac:dyDescent="0.3">
      <c r="A2" s="53">
        <v>45369</v>
      </c>
      <c r="B2" s="49">
        <v>1571.25</v>
      </c>
      <c r="C2" s="12">
        <v>22055.7</v>
      </c>
      <c r="D2" s="12">
        <f>(C3-C2)/C2</f>
        <v>-1.080219625765675E-2</v>
      </c>
    </row>
    <row r="3" spans="1:7" x14ac:dyDescent="0.3">
      <c r="A3" s="53">
        <v>45370</v>
      </c>
      <c r="B3" s="49">
        <v>1548.45</v>
      </c>
      <c r="C3" s="12">
        <v>21817.45</v>
      </c>
      <c r="D3" s="12">
        <f t="shared" ref="D3:D66" si="0">(C4-C3)/C3</f>
        <v>9.9232495089929458E-4</v>
      </c>
    </row>
    <row r="4" spans="1:7" x14ac:dyDescent="0.3">
      <c r="A4" s="53">
        <v>45371</v>
      </c>
      <c r="B4" s="49">
        <v>1549.35</v>
      </c>
      <c r="C4" s="12">
        <v>21839.1</v>
      </c>
      <c r="D4" s="12">
        <f t="shared" si="0"/>
        <v>7.9147034447391244E-3</v>
      </c>
      <c r="F4" s="59" t="s">
        <v>60</v>
      </c>
      <c r="G4" s="12">
        <f>SLOPE(B2:B248,C2:C248)</f>
        <v>9.0835513338441129E-2</v>
      </c>
    </row>
    <row r="5" spans="1:7" x14ac:dyDescent="0.3">
      <c r="A5" s="53">
        <v>45372</v>
      </c>
      <c r="B5" s="49">
        <v>1565.2</v>
      </c>
      <c r="C5" s="12">
        <v>22011.95</v>
      </c>
      <c r="D5" s="12">
        <f t="shared" si="0"/>
        <v>3.8524528721898457E-3</v>
      </c>
    </row>
    <row r="6" spans="1:7" x14ac:dyDescent="0.3">
      <c r="A6" s="53">
        <v>45373</v>
      </c>
      <c r="B6" s="49">
        <v>1608.9</v>
      </c>
      <c r="C6" s="12">
        <v>22096.75</v>
      </c>
      <c r="D6" s="12">
        <f t="shared" si="0"/>
        <v>-4.1657709844207533E-3</v>
      </c>
    </row>
    <row r="7" spans="1:7" x14ac:dyDescent="0.3">
      <c r="A7" s="53">
        <v>45377</v>
      </c>
      <c r="B7" s="49">
        <v>1598.1</v>
      </c>
      <c r="C7" s="12">
        <v>22004.7</v>
      </c>
      <c r="D7" s="12">
        <f t="shared" si="0"/>
        <v>5.4056633355601636E-3</v>
      </c>
    </row>
    <row r="8" spans="1:7" x14ac:dyDescent="0.3">
      <c r="A8" s="53">
        <v>45378</v>
      </c>
      <c r="B8" s="49">
        <v>1604.15</v>
      </c>
      <c r="C8" s="12">
        <v>22123.65</v>
      </c>
      <c r="D8" s="12">
        <f t="shared" si="0"/>
        <v>9.1870012407536724E-3</v>
      </c>
    </row>
    <row r="9" spans="1:7" x14ac:dyDescent="0.3">
      <c r="A9" s="53">
        <v>45379</v>
      </c>
      <c r="B9" s="49">
        <v>1620.55</v>
      </c>
      <c r="C9" s="12">
        <v>22326.9</v>
      </c>
      <c r="D9" s="12">
        <f t="shared" si="0"/>
        <v>6.0509967796693017E-3</v>
      </c>
    </row>
    <row r="10" spans="1:7" x14ac:dyDescent="0.3">
      <c r="A10" s="53">
        <v>45383</v>
      </c>
      <c r="B10" s="49">
        <v>1629.25</v>
      </c>
      <c r="C10" s="12">
        <v>22462</v>
      </c>
      <c r="D10" s="12">
        <f t="shared" si="0"/>
        <v>-3.8732080847657055E-4</v>
      </c>
    </row>
    <row r="11" spans="1:7" x14ac:dyDescent="0.3">
      <c r="A11" s="53">
        <v>45384</v>
      </c>
      <c r="B11" s="49">
        <v>1622.25</v>
      </c>
      <c r="C11" s="12">
        <v>22453.3</v>
      </c>
      <c r="D11" s="12">
        <f t="shared" si="0"/>
        <v>-8.3061287204989106E-4</v>
      </c>
    </row>
    <row r="12" spans="1:7" x14ac:dyDescent="0.3">
      <c r="A12" s="53">
        <v>45385</v>
      </c>
      <c r="B12" s="49">
        <v>1619.85</v>
      </c>
      <c r="C12" s="12">
        <v>22434.65</v>
      </c>
      <c r="D12" s="12">
        <f t="shared" si="0"/>
        <v>3.5659125504520907E-3</v>
      </c>
    </row>
    <row r="13" spans="1:7" x14ac:dyDescent="0.3">
      <c r="A13" s="53">
        <v>45386</v>
      </c>
      <c r="B13" s="49">
        <v>1619.35</v>
      </c>
      <c r="C13" s="12">
        <v>22514.65</v>
      </c>
      <c r="D13" s="12">
        <f t="shared" si="0"/>
        <v>-4.2194748752511256E-5</v>
      </c>
    </row>
    <row r="14" spans="1:7" x14ac:dyDescent="0.3">
      <c r="A14" s="53">
        <v>45387</v>
      </c>
      <c r="B14" s="49">
        <v>1609</v>
      </c>
      <c r="C14" s="12">
        <v>22513.7</v>
      </c>
      <c r="D14" s="12">
        <f t="shared" si="0"/>
        <v>6.7780951154185467E-3</v>
      </c>
    </row>
    <row r="15" spans="1:7" x14ac:dyDescent="0.3">
      <c r="A15" s="53">
        <v>45390</v>
      </c>
      <c r="B15" s="49">
        <v>1599.7</v>
      </c>
      <c r="C15" s="12">
        <v>22666.3</v>
      </c>
      <c r="D15" s="12">
        <f t="shared" si="0"/>
        <v>-1.0389873953843051E-3</v>
      </c>
    </row>
    <row r="16" spans="1:7" x14ac:dyDescent="0.3">
      <c r="A16" s="53">
        <v>45391</v>
      </c>
      <c r="B16" s="49">
        <v>1602.55</v>
      </c>
      <c r="C16" s="12">
        <v>22642.75</v>
      </c>
      <c r="D16" s="12">
        <f t="shared" si="0"/>
        <v>4.9044396109129531E-3</v>
      </c>
    </row>
    <row r="17" spans="1:4" x14ac:dyDescent="0.3">
      <c r="A17" s="53">
        <v>45392</v>
      </c>
      <c r="B17" s="49">
        <v>1604.05</v>
      </c>
      <c r="C17" s="12">
        <v>22753.8</v>
      </c>
      <c r="D17" s="12">
        <f t="shared" si="0"/>
        <v>-1.030157600049213E-2</v>
      </c>
    </row>
    <row r="18" spans="1:4" x14ac:dyDescent="0.3">
      <c r="A18" s="53">
        <v>45394</v>
      </c>
      <c r="B18" s="49">
        <v>1540</v>
      </c>
      <c r="C18" s="12">
        <v>22519.4</v>
      </c>
      <c r="D18" s="12">
        <f t="shared" si="0"/>
        <v>-1.0963880032327745E-2</v>
      </c>
    </row>
    <row r="19" spans="1:4" x14ac:dyDescent="0.3">
      <c r="A19" s="53">
        <v>45397</v>
      </c>
      <c r="B19" s="49">
        <v>1540.05</v>
      </c>
      <c r="C19" s="12">
        <v>22272.5</v>
      </c>
      <c r="D19" s="12">
        <f t="shared" si="0"/>
        <v>-5.594342799416255E-3</v>
      </c>
    </row>
    <row r="20" spans="1:4" x14ac:dyDescent="0.3">
      <c r="A20" s="53">
        <v>45398</v>
      </c>
      <c r="B20" s="49">
        <v>1537.55</v>
      </c>
      <c r="C20" s="12">
        <v>22147.9</v>
      </c>
      <c r="D20" s="12">
        <f t="shared" si="0"/>
        <v>-6.865210697176838E-3</v>
      </c>
    </row>
    <row r="21" spans="1:4" x14ac:dyDescent="0.3">
      <c r="A21" s="53">
        <v>45400</v>
      </c>
      <c r="B21" s="49">
        <v>1516.4</v>
      </c>
      <c r="C21" s="12">
        <v>21995.85</v>
      </c>
      <c r="D21" s="12">
        <f t="shared" si="0"/>
        <v>6.8717508075387618E-3</v>
      </c>
    </row>
    <row r="22" spans="1:4" x14ac:dyDescent="0.3">
      <c r="A22" s="53">
        <v>45401</v>
      </c>
      <c r="B22" s="49">
        <v>1522.8</v>
      </c>
      <c r="C22" s="12">
        <v>22147</v>
      </c>
      <c r="D22" s="12">
        <f t="shared" si="0"/>
        <v>8.5519483451483927E-3</v>
      </c>
    </row>
    <row r="23" spans="1:4" x14ac:dyDescent="0.3">
      <c r="A23" s="53">
        <v>45404</v>
      </c>
      <c r="B23" s="49">
        <v>1540.1</v>
      </c>
      <c r="C23" s="12">
        <v>22336.400000000001</v>
      </c>
      <c r="D23" s="12">
        <f t="shared" si="0"/>
        <v>1.4147311115487967E-3</v>
      </c>
    </row>
    <row r="24" spans="1:4" x14ac:dyDescent="0.3">
      <c r="A24" s="53">
        <v>45405</v>
      </c>
      <c r="B24" s="49">
        <v>1484.65</v>
      </c>
      <c r="C24" s="12">
        <v>22368</v>
      </c>
      <c r="D24" s="12">
        <f t="shared" si="0"/>
        <v>1.5379113018598647E-3</v>
      </c>
    </row>
    <row r="25" spans="1:4" x14ac:dyDescent="0.3">
      <c r="A25" s="53">
        <v>45406</v>
      </c>
      <c r="B25" s="49">
        <v>1485.75</v>
      </c>
      <c r="C25" s="12">
        <v>22402.400000000001</v>
      </c>
      <c r="D25" s="12">
        <f t="shared" si="0"/>
        <v>7.4969646109344125E-3</v>
      </c>
    </row>
    <row r="26" spans="1:4" x14ac:dyDescent="0.3">
      <c r="A26" s="53">
        <v>45407</v>
      </c>
      <c r="B26" s="49">
        <v>1520.15</v>
      </c>
      <c r="C26" s="12">
        <v>22570.35</v>
      </c>
      <c r="D26" s="12">
        <f t="shared" si="0"/>
        <v>-6.663609558557923E-3</v>
      </c>
    </row>
    <row r="27" spans="1:4" x14ac:dyDescent="0.3">
      <c r="A27" s="53">
        <v>45408</v>
      </c>
      <c r="B27" s="49">
        <v>1506.55</v>
      </c>
      <c r="C27" s="12">
        <v>22419.95</v>
      </c>
      <c r="D27" s="12">
        <f t="shared" si="0"/>
        <v>9.9665699522077759E-3</v>
      </c>
    </row>
    <row r="28" spans="1:4" x14ac:dyDescent="0.3">
      <c r="A28" s="53">
        <v>45411</v>
      </c>
      <c r="B28" s="49">
        <v>1521.6</v>
      </c>
      <c r="C28" s="12">
        <v>22643.4</v>
      </c>
      <c r="D28" s="12">
        <f t="shared" si="0"/>
        <v>-1.7024828426827645E-3</v>
      </c>
    </row>
    <row r="29" spans="1:4" x14ac:dyDescent="0.3">
      <c r="A29" s="53">
        <v>45412</v>
      </c>
      <c r="B29" s="49">
        <v>1502.1</v>
      </c>
      <c r="C29" s="12">
        <v>22604.85</v>
      </c>
      <c r="D29" s="12">
        <f t="shared" si="0"/>
        <v>1.9177300446586545E-3</v>
      </c>
    </row>
    <row r="30" spans="1:4" x14ac:dyDescent="0.3">
      <c r="A30" s="53">
        <v>45414</v>
      </c>
      <c r="B30" s="49">
        <v>1519</v>
      </c>
      <c r="C30" s="12">
        <v>22648.2</v>
      </c>
      <c r="D30" s="12">
        <f t="shared" si="0"/>
        <v>-7.6098762815588958E-3</v>
      </c>
    </row>
    <row r="31" spans="1:4" x14ac:dyDescent="0.3">
      <c r="A31" s="53">
        <v>45415</v>
      </c>
      <c r="B31" s="49">
        <v>1511.15</v>
      </c>
      <c r="C31" s="12">
        <v>22475.85</v>
      </c>
      <c r="D31" s="12">
        <f t="shared" si="0"/>
        <v>-1.4749164102802706E-3</v>
      </c>
    </row>
    <row r="32" spans="1:4" x14ac:dyDescent="0.3">
      <c r="A32" s="53">
        <v>45418</v>
      </c>
      <c r="B32" s="49">
        <v>1529.15</v>
      </c>
      <c r="C32" s="12">
        <v>22442.7</v>
      </c>
      <c r="D32" s="12">
        <f t="shared" si="0"/>
        <v>-6.2470201891929545E-3</v>
      </c>
    </row>
    <row r="33" spans="1:4" x14ac:dyDescent="0.3">
      <c r="A33" s="53">
        <v>45419</v>
      </c>
      <c r="B33" s="49">
        <v>1515.35</v>
      </c>
      <c r="C33" s="12">
        <v>22302.5</v>
      </c>
      <c r="D33" s="12">
        <f t="shared" si="0"/>
        <v>0</v>
      </c>
    </row>
    <row r="34" spans="1:4" x14ac:dyDescent="0.3">
      <c r="A34" s="53">
        <v>45420</v>
      </c>
      <c r="B34" s="49">
        <v>1521.75</v>
      </c>
      <c r="C34" s="12">
        <v>22302.5</v>
      </c>
      <c r="D34" s="12">
        <f t="shared" si="0"/>
        <v>-1.5469117811904494E-2</v>
      </c>
    </row>
    <row r="35" spans="1:4" x14ac:dyDescent="0.3">
      <c r="A35" s="53">
        <v>45421</v>
      </c>
      <c r="B35" s="49">
        <v>1494.65</v>
      </c>
      <c r="C35" s="12">
        <v>21957.5</v>
      </c>
      <c r="D35" s="12">
        <f t="shared" si="0"/>
        <v>4.4495047250370364E-3</v>
      </c>
    </row>
    <row r="36" spans="1:4" x14ac:dyDescent="0.3">
      <c r="A36" s="53">
        <v>45422</v>
      </c>
      <c r="B36" s="49">
        <v>1506.55</v>
      </c>
      <c r="C36" s="12">
        <v>22055.200000000001</v>
      </c>
      <c r="D36" s="12">
        <f t="shared" si="0"/>
        <v>2.2148971671079177E-3</v>
      </c>
    </row>
    <row r="37" spans="1:4" x14ac:dyDescent="0.3">
      <c r="A37" s="53">
        <v>45425</v>
      </c>
      <c r="B37" s="49">
        <v>1525.05</v>
      </c>
      <c r="C37" s="12">
        <v>22104.05</v>
      </c>
      <c r="D37" s="12">
        <f t="shared" si="0"/>
        <v>5.1483777859713167E-3</v>
      </c>
    </row>
    <row r="38" spans="1:4" x14ac:dyDescent="0.3">
      <c r="A38" s="53">
        <v>45426</v>
      </c>
      <c r="B38" s="49">
        <v>1545.25</v>
      </c>
      <c r="C38" s="12">
        <v>22217.85</v>
      </c>
      <c r="D38" s="12">
        <f t="shared" si="0"/>
        <v>-7.7865320001707064E-4</v>
      </c>
    </row>
    <row r="39" spans="1:4" x14ac:dyDescent="0.3">
      <c r="A39" s="53">
        <v>45427</v>
      </c>
      <c r="B39" s="49">
        <v>1527.4</v>
      </c>
      <c r="C39" s="12">
        <v>22200.55</v>
      </c>
      <c r="D39" s="12">
        <f t="shared" si="0"/>
        <v>9.1574307843724275E-3</v>
      </c>
    </row>
    <row r="40" spans="1:4" x14ac:dyDescent="0.3">
      <c r="A40" s="53">
        <v>45428</v>
      </c>
      <c r="B40" s="49">
        <v>1536.3</v>
      </c>
      <c r="C40" s="12">
        <v>22403.85</v>
      </c>
      <c r="D40" s="12">
        <f t="shared" si="0"/>
        <v>2.778540295529563E-3</v>
      </c>
    </row>
    <row r="41" spans="1:4" x14ac:dyDescent="0.3">
      <c r="A41" s="53">
        <v>45429</v>
      </c>
      <c r="B41" s="49">
        <v>1531.4</v>
      </c>
      <c r="C41" s="12">
        <v>22466.1</v>
      </c>
      <c r="D41" s="12">
        <f t="shared" si="0"/>
        <v>1.5979631533733695E-3</v>
      </c>
    </row>
    <row r="42" spans="1:4" x14ac:dyDescent="0.3">
      <c r="A42" s="53">
        <v>45430</v>
      </c>
      <c r="B42" s="49">
        <v>1531.9</v>
      </c>
      <c r="C42" s="12">
        <v>22502</v>
      </c>
      <c r="D42" s="12">
        <f t="shared" si="0"/>
        <v>1.2021153675228545E-3</v>
      </c>
    </row>
    <row r="43" spans="1:4" x14ac:dyDescent="0.3">
      <c r="A43" s="53">
        <v>45433</v>
      </c>
      <c r="B43" s="49">
        <v>1540.95</v>
      </c>
      <c r="C43" s="12">
        <v>22529.05</v>
      </c>
      <c r="D43" s="12">
        <f t="shared" si="0"/>
        <v>3.0516155807723809E-3</v>
      </c>
    </row>
    <row r="44" spans="1:4" x14ac:dyDescent="0.3">
      <c r="A44" s="53">
        <v>45434</v>
      </c>
      <c r="B44" s="49">
        <v>1539.3</v>
      </c>
      <c r="C44" s="12">
        <v>22597.8</v>
      </c>
      <c r="D44" s="12">
        <f t="shared" si="0"/>
        <v>1.6366637460283842E-2</v>
      </c>
    </row>
    <row r="45" spans="1:4" x14ac:dyDescent="0.3">
      <c r="A45" s="53">
        <v>45435</v>
      </c>
      <c r="B45" s="49">
        <v>1495.1</v>
      </c>
      <c r="C45" s="12">
        <v>22967.65</v>
      </c>
      <c r="D45" s="12">
        <f t="shared" si="0"/>
        <v>-4.5934172629776704E-4</v>
      </c>
    </row>
    <row r="46" spans="1:4" x14ac:dyDescent="0.3">
      <c r="A46" s="53">
        <v>45436</v>
      </c>
      <c r="B46" s="49">
        <v>1486.7</v>
      </c>
      <c r="C46" s="12">
        <v>22957.1</v>
      </c>
      <c r="D46" s="12">
        <f t="shared" si="0"/>
        <v>-1.0737418924863253E-3</v>
      </c>
    </row>
    <row r="47" spans="1:4" x14ac:dyDescent="0.3">
      <c r="A47" s="53">
        <v>45439</v>
      </c>
      <c r="B47" s="49">
        <v>1466.05</v>
      </c>
      <c r="C47" s="12">
        <v>22932.45</v>
      </c>
      <c r="D47" s="12">
        <f t="shared" si="0"/>
        <v>-1.9317604529825322E-3</v>
      </c>
    </row>
    <row r="48" spans="1:4" x14ac:dyDescent="0.3">
      <c r="A48" s="53">
        <v>45440</v>
      </c>
      <c r="B48" s="49">
        <v>1464.9</v>
      </c>
      <c r="C48" s="12">
        <v>22888.15</v>
      </c>
      <c r="D48" s="12">
        <f t="shared" si="0"/>
        <v>-8.0150645639774608E-3</v>
      </c>
    </row>
    <row r="49" spans="1:4" x14ac:dyDescent="0.3">
      <c r="A49" s="53">
        <v>45441</v>
      </c>
      <c r="B49" s="49">
        <v>1478.95</v>
      </c>
      <c r="C49" s="12">
        <v>22704.7</v>
      </c>
      <c r="D49" s="12">
        <f t="shared" si="0"/>
        <v>-9.5156509445180632E-3</v>
      </c>
    </row>
    <row r="50" spans="1:4" x14ac:dyDescent="0.3">
      <c r="A50" s="53">
        <v>45442</v>
      </c>
      <c r="B50" s="49">
        <v>1459.1</v>
      </c>
      <c r="C50" s="12">
        <v>22488.65</v>
      </c>
      <c r="D50" s="12">
        <f t="shared" si="0"/>
        <v>1.869832115311469E-3</v>
      </c>
    </row>
    <row r="51" spans="1:4" x14ac:dyDescent="0.3">
      <c r="A51" s="53">
        <v>45443</v>
      </c>
      <c r="B51" s="49">
        <v>1459.8</v>
      </c>
      <c r="C51" s="12">
        <v>22530.7</v>
      </c>
      <c r="D51" s="12">
        <f t="shared" si="0"/>
        <v>3.2542264554585552E-2</v>
      </c>
    </row>
    <row r="52" spans="1:4" x14ac:dyDescent="0.3">
      <c r="A52" s="53">
        <v>45446</v>
      </c>
      <c r="B52" s="49">
        <v>1453.05</v>
      </c>
      <c r="C52" s="12">
        <v>23263.9</v>
      </c>
      <c r="D52" s="12">
        <f t="shared" si="0"/>
        <v>-5.9293583620975046E-2</v>
      </c>
    </row>
    <row r="53" spans="1:4" x14ac:dyDescent="0.3">
      <c r="A53" s="53">
        <v>45447</v>
      </c>
      <c r="B53" s="49">
        <v>1429.85</v>
      </c>
      <c r="C53" s="12">
        <v>21884.5</v>
      </c>
      <c r="D53" s="12">
        <f t="shared" si="0"/>
        <v>3.3624254609426696E-2</v>
      </c>
    </row>
    <row r="54" spans="1:4" x14ac:dyDescent="0.3">
      <c r="A54" s="53">
        <v>45448</v>
      </c>
      <c r="B54" s="49">
        <v>1487.3</v>
      </c>
      <c r="C54" s="12">
        <v>22620.35</v>
      </c>
      <c r="D54" s="12">
        <f t="shared" si="0"/>
        <v>8.8880145532674298E-3</v>
      </c>
    </row>
    <row r="55" spans="1:4" x14ac:dyDescent="0.3">
      <c r="A55" s="53">
        <v>45449</v>
      </c>
      <c r="B55" s="49">
        <v>1472.7</v>
      </c>
      <c r="C55" s="12">
        <v>22821.4</v>
      </c>
      <c r="D55" s="12">
        <f t="shared" si="0"/>
        <v>2.0539931818380992E-2</v>
      </c>
    </row>
    <row r="56" spans="1:4" x14ac:dyDescent="0.3">
      <c r="A56" s="53">
        <v>45450</v>
      </c>
      <c r="B56" s="49">
        <v>1506.85</v>
      </c>
      <c r="C56" s="12">
        <v>23290.15</v>
      </c>
      <c r="D56" s="12">
        <f t="shared" si="0"/>
        <v>-1.3288879633665187E-3</v>
      </c>
    </row>
    <row r="57" spans="1:4" x14ac:dyDescent="0.3">
      <c r="A57" s="53">
        <v>45453</v>
      </c>
      <c r="B57" s="49">
        <v>1513.1</v>
      </c>
      <c r="C57" s="12">
        <v>23259.200000000001</v>
      </c>
      <c r="D57" s="12">
        <f t="shared" si="0"/>
        <v>2.4291463162954088E-4</v>
      </c>
    </row>
    <row r="58" spans="1:4" x14ac:dyDescent="0.3">
      <c r="A58" s="53">
        <v>45454</v>
      </c>
      <c r="B58" s="49">
        <v>1499.75</v>
      </c>
      <c r="C58" s="12">
        <v>23264.85</v>
      </c>
      <c r="D58" s="12">
        <f t="shared" si="0"/>
        <v>2.4973296625597063E-3</v>
      </c>
    </row>
    <row r="59" spans="1:4" x14ac:dyDescent="0.3">
      <c r="A59" s="53">
        <v>45455</v>
      </c>
      <c r="B59" s="49">
        <v>1506.85</v>
      </c>
      <c r="C59" s="12">
        <v>23322.95</v>
      </c>
      <c r="D59" s="12">
        <f t="shared" si="0"/>
        <v>3.2564491198583683E-3</v>
      </c>
    </row>
    <row r="60" spans="1:4" x14ac:dyDescent="0.3">
      <c r="A60" s="53">
        <v>45456</v>
      </c>
      <c r="B60" s="49">
        <v>1510.8</v>
      </c>
      <c r="C60" s="12">
        <v>23398.9</v>
      </c>
      <c r="D60" s="12">
        <f t="shared" si="0"/>
        <v>2.8505613511745033E-3</v>
      </c>
    </row>
    <row r="61" spans="1:4" x14ac:dyDescent="0.3">
      <c r="A61" s="53">
        <v>45457</v>
      </c>
      <c r="B61" s="49">
        <v>1516</v>
      </c>
      <c r="C61" s="12">
        <v>23465.599999999999</v>
      </c>
      <c r="D61" s="12">
        <f t="shared" si="0"/>
        <v>3.9334174280650364E-3</v>
      </c>
    </row>
    <row r="62" spans="1:4" x14ac:dyDescent="0.3">
      <c r="A62" s="53">
        <v>45461</v>
      </c>
      <c r="B62" s="49">
        <v>1520.95</v>
      </c>
      <c r="C62" s="12">
        <v>23557.9</v>
      </c>
      <c r="D62" s="12">
        <f t="shared" si="0"/>
        <v>-1.7785965642099445E-3</v>
      </c>
    </row>
    <row r="63" spans="1:4" x14ac:dyDescent="0.3">
      <c r="A63" s="53">
        <v>45462</v>
      </c>
      <c r="B63" s="49">
        <v>1504</v>
      </c>
      <c r="C63" s="12">
        <v>23516</v>
      </c>
      <c r="D63" s="12">
        <f t="shared" si="0"/>
        <v>2.1687361796223848E-3</v>
      </c>
    </row>
    <row r="64" spans="1:4" x14ac:dyDescent="0.3">
      <c r="A64" s="53">
        <v>45463</v>
      </c>
      <c r="B64" s="49">
        <v>1471</v>
      </c>
      <c r="C64" s="12">
        <v>23567</v>
      </c>
      <c r="D64" s="12">
        <f t="shared" si="0"/>
        <v>-2.7962829380065962E-3</v>
      </c>
    </row>
    <row r="65" spans="1:4" x14ac:dyDescent="0.3">
      <c r="A65" s="53">
        <v>45464</v>
      </c>
      <c r="B65" s="49">
        <v>1467.25</v>
      </c>
      <c r="C65" s="12">
        <v>23501.1</v>
      </c>
      <c r="D65" s="12">
        <f t="shared" si="0"/>
        <v>1.5637565901170584E-3</v>
      </c>
    </row>
    <row r="66" spans="1:4" x14ac:dyDescent="0.3">
      <c r="A66" s="53">
        <v>45467</v>
      </c>
      <c r="B66" s="49">
        <v>1494.5</v>
      </c>
      <c r="C66" s="12">
        <v>23537.85</v>
      </c>
      <c r="D66" s="12">
        <f t="shared" si="0"/>
        <v>7.7938299377386102E-3</v>
      </c>
    </row>
    <row r="67" spans="1:4" x14ac:dyDescent="0.3">
      <c r="A67" s="53">
        <v>45468</v>
      </c>
      <c r="B67" s="49">
        <v>1505.2</v>
      </c>
      <c r="C67" s="12">
        <v>23721.3</v>
      </c>
      <c r="D67" s="12">
        <f t="shared" ref="D67:D130" si="1">(C68-C67)/C67</f>
        <v>6.2180403266262809E-3</v>
      </c>
    </row>
    <row r="68" spans="1:4" x14ac:dyDescent="0.3">
      <c r="A68" s="53">
        <v>45469</v>
      </c>
      <c r="B68" s="49">
        <v>1521.15</v>
      </c>
      <c r="C68" s="12">
        <v>23868.799999999999</v>
      </c>
      <c r="D68" s="12">
        <f t="shared" si="1"/>
        <v>7.3610738704920535E-3</v>
      </c>
    </row>
    <row r="69" spans="1:4" x14ac:dyDescent="0.3">
      <c r="A69" s="53">
        <v>45470</v>
      </c>
      <c r="B69" s="49">
        <v>1516.25</v>
      </c>
      <c r="C69" s="12">
        <v>24044.5</v>
      </c>
      <c r="D69" s="12">
        <f t="shared" si="1"/>
        <v>-1.409885836677887E-3</v>
      </c>
    </row>
    <row r="70" spans="1:4" x14ac:dyDescent="0.3">
      <c r="A70" s="53">
        <v>45471</v>
      </c>
      <c r="B70" s="49">
        <v>1520.85</v>
      </c>
      <c r="C70" s="12">
        <v>24010.6</v>
      </c>
      <c r="D70" s="12">
        <f t="shared" si="1"/>
        <v>5.4705005289331461E-3</v>
      </c>
    </row>
    <row r="71" spans="1:4" x14ac:dyDescent="0.3">
      <c r="A71" s="53">
        <v>45474</v>
      </c>
      <c r="B71" s="49">
        <v>1520.1</v>
      </c>
      <c r="C71" s="12">
        <v>24141.95</v>
      </c>
      <c r="D71" s="12">
        <f t="shared" si="1"/>
        <v>-7.4973231242721412E-4</v>
      </c>
    </row>
    <row r="72" spans="1:4" x14ac:dyDescent="0.3">
      <c r="A72" s="53">
        <v>45475</v>
      </c>
      <c r="B72" s="49">
        <v>1524.05</v>
      </c>
      <c r="C72" s="12">
        <v>24123.85</v>
      </c>
      <c r="D72" s="12">
        <f t="shared" si="1"/>
        <v>6.7422903060664636E-3</v>
      </c>
    </row>
    <row r="73" spans="1:4" x14ac:dyDescent="0.3">
      <c r="A73" s="53">
        <v>45476</v>
      </c>
      <c r="B73" s="49">
        <v>1533.95</v>
      </c>
      <c r="C73" s="12">
        <v>24286.5</v>
      </c>
      <c r="D73" s="12">
        <f t="shared" si="1"/>
        <v>6.4439091676451749E-4</v>
      </c>
    </row>
    <row r="74" spans="1:4" x14ac:dyDescent="0.3">
      <c r="A74" s="53">
        <v>45477</v>
      </c>
      <c r="B74" s="49">
        <v>1557.9</v>
      </c>
      <c r="C74" s="12">
        <v>24302.15</v>
      </c>
      <c r="D74" s="12">
        <f t="shared" si="1"/>
        <v>8.9292511156408331E-4</v>
      </c>
    </row>
    <row r="75" spans="1:4" x14ac:dyDescent="0.3">
      <c r="A75" s="53">
        <v>45478</v>
      </c>
      <c r="B75" s="49">
        <v>1568.4</v>
      </c>
      <c r="C75" s="12">
        <v>24323.85</v>
      </c>
      <c r="D75" s="12">
        <f t="shared" si="1"/>
        <v>-1.3566931221822501E-4</v>
      </c>
    </row>
    <row r="76" spans="1:4" x14ac:dyDescent="0.3">
      <c r="A76" s="53">
        <v>45481</v>
      </c>
      <c r="B76" s="49">
        <v>1556.4</v>
      </c>
      <c r="C76" s="12">
        <v>24320.55</v>
      </c>
      <c r="D76" s="12">
        <f t="shared" si="1"/>
        <v>4.6318853808816601E-3</v>
      </c>
    </row>
    <row r="77" spans="1:4" x14ac:dyDescent="0.3">
      <c r="A77" s="53">
        <v>45482</v>
      </c>
      <c r="B77" s="49">
        <v>1585.4</v>
      </c>
      <c r="C77" s="12">
        <v>24433.200000000001</v>
      </c>
      <c r="D77" s="12">
        <f t="shared" si="1"/>
        <v>-4.4509110554491428E-3</v>
      </c>
    </row>
    <row r="78" spans="1:4" x14ac:dyDescent="0.3">
      <c r="A78" s="53">
        <v>45483</v>
      </c>
      <c r="B78" s="49">
        <v>1598.55</v>
      </c>
      <c r="C78" s="12">
        <v>24324.45</v>
      </c>
      <c r="D78" s="12">
        <f t="shared" si="1"/>
        <v>-3.4944263899080964E-4</v>
      </c>
    </row>
    <row r="79" spans="1:4" x14ac:dyDescent="0.3">
      <c r="A79" s="53">
        <v>45484</v>
      </c>
      <c r="B79" s="49">
        <v>1581.75</v>
      </c>
      <c r="C79" s="12">
        <v>24315.95</v>
      </c>
      <c r="D79" s="12">
        <f t="shared" si="1"/>
        <v>7.6575252046496524E-3</v>
      </c>
    </row>
    <row r="80" spans="1:4" x14ac:dyDescent="0.3">
      <c r="A80" s="53">
        <v>45485</v>
      </c>
      <c r="B80" s="49">
        <v>1577.3</v>
      </c>
      <c r="C80" s="12">
        <v>24502.15</v>
      </c>
      <c r="D80" s="12">
        <f t="shared" si="1"/>
        <v>3.4507175900890031E-3</v>
      </c>
    </row>
    <row r="81" spans="1:4" x14ac:dyDescent="0.3">
      <c r="A81" s="53">
        <v>45488</v>
      </c>
      <c r="B81" s="49">
        <v>1586.2</v>
      </c>
      <c r="C81" s="12">
        <v>24586.7</v>
      </c>
      <c r="D81" s="12">
        <f t="shared" si="1"/>
        <v>1.0696840161550461E-3</v>
      </c>
    </row>
    <row r="82" spans="1:4" x14ac:dyDescent="0.3">
      <c r="A82" s="53">
        <v>45489</v>
      </c>
      <c r="B82" s="49">
        <v>1579.3</v>
      </c>
      <c r="C82" s="12">
        <v>24613</v>
      </c>
      <c r="D82" s="12">
        <f t="shared" si="1"/>
        <v>7.6321456141063074E-3</v>
      </c>
    </row>
    <row r="83" spans="1:4" x14ac:dyDescent="0.3">
      <c r="A83" s="53">
        <v>45491</v>
      </c>
      <c r="B83" s="49">
        <v>1594.25</v>
      </c>
      <c r="C83" s="12">
        <v>24800.85</v>
      </c>
      <c r="D83" s="12">
        <f t="shared" si="1"/>
        <v>-1.0884707580586839E-2</v>
      </c>
    </row>
    <row r="84" spans="1:4" x14ac:dyDescent="0.3">
      <c r="A84" s="53">
        <v>45492</v>
      </c>
      <c r="B84" s="49">
        <v>1568.65</v>
      </c>
      <c r="C84" s="12">
        <v>24530.9</v>
      </c>
      <c r="D84" s="12">
        <f t="shared" si="1"/>
        <v>-8.8256036264472372E-4</v>
      </c>
    </row>
    <row r="85" spans="1:4" x14ac:dyDescent="0.3">
      <c r="A85" s="53">
        <v>45495</v>
      </c>
      <c r="B85" s="49">
        <v>1587.35</v>
      </c>
      <c r="C85" s="12">
        <v>24509.25</v>
      </c>
      <c r="D85" s="12">
        <f t="shared" si="1"/>
        <v>-1.2321878474453819E-3</v>
      </c>
    </row>
    <row r="86" spans="1:4" x14ac:dyDescent="0.3">
      <c r="A86" s="53">
        <v>45496</v>
      </c>
      <c r="B86" s="49">
        <v>1601.6</v>
      </c>
      <c r="C86" s="12">
        <v>24479.05</v>
      </c>
      <c r="D86" s="12">
        <f t="shared" si="1"/>
        <v>-2.677799996323357E-3</v>
      </c>
    </row>
    <row r="87" spans="1:4" x14ac:dyDescent="0.3">
      <c r="A87" s="53">
        <v>45497</v>
      </c>
      <c r="B87" s="49">
        <v>1619.45</v>
      </c>
      <c r="C87" s="12">
        <v>24413.5</v>
      </c>
      <c r="D87" s="12">
        <f t="shared" si="1"/>
        <v>-3.0311098367712352E-4</v>
      </c>
    </row>
    <row r="88" spans="1:4" x14ac:dyDescent="0.3">
      <c r="A88" s="53">
        <v>45498</v>
      </c>
      <c r="B88" s="49">
        <v>1665.8</v>
      </c>
      <c r="C88" s="12">
        <v>24406.1</v>
      </c>
      <c r="D88" s="12">
        <f t="shared" si="1"/>
        <v>1.7567329479105633E-2</v>
      </c>
    </row>
    <row r="89" spans="1:4" x14ac:dyDescent="0.3">
      <c r="A89" s="53">
        <v>45499</v>
      </c>
      <c r="B89" s="49">
        <v>1714.25</v>
      </c>
      <c r="C89" s="12">
        <v>24834.85</v>
      </c>
      <c r="D89" s="12">
        <f t="shared" si="1"/>
        <v>5.0332496471692003E-5</v>
      </c>
    </row>
    <row r="90" spans="1:4" x14ac:dyDescent="0.3">
      <c r="A90" s="53">
        <v>45502</v>
      </c>
      <c r="B90" s="49">
        <v>1723.25</v>
      </c>
      <c r="C90" s="12">
        <v>24836.1</v>
      </c>
      <c r="D90" s="12">
        <f t="shared" si="1"/>
        <v>8.5359617653338197E-4</v>
      </c>
    </row>
    <row r="91" spans="1:4" x14ac:dyDescent="0.3">
      <c r="A91" s="53">
        <v>45503</v>
      </c>
      <c r="B91" s="49">
        <v>1701.6</v>
      </c>
      <c r="C91" s="12">
        <v>24857.3</v>
      </c>
      <c r="D91" s="12">
        <f t="shared" si="1"/>
        <v>3.7755508442188887E-3</v>
      </c>
    </row>
    <row r="92" spans="1:4" x14ac:dyDescent="0.3">
      <c r="A92" s="53">
        <v>45504</v>
      </c>
      <c r="B92" s="49">
        <v>1719.35</v>
      </c>
      <c r="C92" s="12">
        <v>24951.15</v>
      </c>
      <c r="D92" s="12">
        <f t="shared" si="1"/>
        <v>2.3946792031629802E-3</v>
      </c>
    </row>
    <row r="93" spans="1:4" x14ac:dyDescent="0.3">
      <c r="A93" s="53">
        <v>45505</v>
      </c>
      <c r="B93" s="49">
        <v>1715.2</v>
      </c>
      <c r="C93" s="12">
        <v>25010.9</v>
      </c>
      <c r="D93" s="12">
        <f t="shared" si="1"/>
        <v>-1.1722888820474302E-2</v>
      </c>
    </row>
    <row r="94" spans="1:4" x14ac:dyDescent="0.3">
      <c r="A94" s="53">
        <v>45506</v>
      </c>
      <c r="B94" s="49">
        <v>1731.65</v>
      </c>
      <c r="C94" s="12">
        <v>24717.7</v>
      </c>
      <c r="D94" s="12">
        <f t="shared" si="1"/>
        <v>-2.6786472851438529E-2</v>
      </c>
    </row>
    <row r="95" spans="1:4" x14ac:dyDescent="0.3">
      <c r="A95" s="53">
        <v>45509</v>
      </c>
      <c r="B95" s="49">
        <v>1720.35</v>
      </c>
      <c r="C95" s="12">
        <v>24055.599999999999</v>
      </c>
      <c r="D95" s="12">
        <f t="shared" si="1"/>
        <v>-2.6210113237665773E-3</v>
      </c>
    </row>
    <row r="96" spans="1:4" x14ac:dyDescent="0.3">
      <c r="A96" s="53">
        <v>45510</v>
      </c>
      <c r="B96" s="49">
        <v>1707.55</v>
      </c>
      <c r="C96" s="12">
        <v>23992.55</v>
      </c>
      <c r="D96" s="12">
        <f t="shared" si="1"/>
        <v>1.2710195456506321E-2</v>
      </c>
    </row>
    <row r="97" spans="1:4" x14ac:dyDescent="0.3">
      <c r="A97" s="53">
        <v>45511</v>
      </c>
      <c r="B97" s="49">
        <v>1734.45</v>
      </c>
      <c r="C97" s="12">
        <v>24297.5</v>
      </c>
      <c r="D97" s="12">
        <f t="shared" si="1"/>
        <v>-7.428747813561066E-3</v>
      </c>
    </row>
    <row r="98" spans="1:4" x14ac:dyDescent="0.3">
      <c r="A98" s="53">
        <v>45512</v>
      </c>
      <c r="B98" s="49">
        <v>1737.05</v>
      </c>
      <c r="C98" s="12">
        <v>24117</v>
      </c>
      <c r="D98" s="12">
        <f t="shared" si="1"/>
        <v>1.0386864037815649E-2</v>
      </c>
    </row>
    <row r="99" spans="1:4" x14ac:dyDescent="0.3">
      <c r="A99" s="53">
        <v>45513</v>
      </c>
      <c r="B99" s="49">
        <v>1735.3</v>
      </c>
      <c r="C99" s="12">
        <v>24367.5</v>
      </c>
      <c r="D99" s="12">
        <f t="shared" si="1"/>
        <v>-8.412844977941931E-4</v>
      </c>
    </row>
    <row r="100" spans="1:4" x14ac:dyDescent="0.3">
      <c r="A100" s="53">
        <v>45516</v>
      </c>
      <c r="B100" s="49">
        <v>1733.85</v>
      </c>
      <c r="C100" s="12">
        <v>24347</v>
      </c>
      <c r="D100" s="12">
        <f t="shared" si="1"/>
        <v>-8.5431469996303452E-3</v>
      </c>
    </row>
    <row r="101" spans="1:4" x14ac:dyDescent="0.3">
      <c r="A101" s="53">
        <v>45517</v>
      </c>
      <c r="B101" s="49">
        <v>1740.1</v>
      </c>
      <c r="C101" s="12">
        <v>24139</v>
      </c>
      <c r="D101" s="12">
        <f t="shared" si="1"/>
        <v>1.9677699987571978E-4</v>
      </c>
    </row>
    <row r="102" spans="1:4" x14ac:dyDescent="0.3">
      <c r="A102" s="53">
        <v>45518</v>
      </c>
      <c r="B102" s="49">
        <v>1741.65</v>
      </c>
      <c r="C102" s="12">
        <v>24143.75</v>
      </c>
      <c r="D102" s="12">
        <f t="shared" si="1"/>
        <v>1.6459746311157191E-2</v>
      </c>
    </row>
    <row r="103" spans="1:4" x14ac:dyDescent="0.3">
      <c r="A103" s="53">
        <v>45520</v>
      </c>
      <c r="B103" s="49">
        <v>1742.75</v>
      </c>
      <c r="C103" s="12">
        <v>24541.15</v>
      </c>
      <c r="D103" s="12">
        <f t="shared" si="1"/>
        <v>1.2835584314508488E-3</v>
      </c>
    </row>
    <row r="104" spans="1:4" x14ac:dyDescent="0.3">
      <c r="A104" s="53">
        <v>45523</v>
      </c>
      <c r="B104" s="49">
        <v>1747.8</v>
      </c>
      <c r="C104" s="12">
        <v>24572.65</v>
      </c>
      <c r="D104" s="12">
        <f t="shared" si="1"/>
        <v>5.135791215029599E-3</v>
      </c>
    </row>
    <row r="105" spans="1:4" x14ac:dyDescent="0.3">
      <c r="A105" s="53">
        <v>45524</v>
      </c>
      <c r="B105" s="49">
        <v>1766.35</v>
      </c>
      <c r="C105" s="12">
        <v>24698.85</v>
      </c>
      <c r="D105" s="12">
        <f t="shared" si="1"/>
        <v>2.8887984663254437E-3</v>
      </c>
    </row>
    <row r="106" spans="1:4" x14ac:dyDescent="0.3">
      <c r="A106" s="53">
        <v>45525</v>
      </c>
      <c r="B106" s="49">
        <v>1764.65</v>
      </c>
      <c r="C106" s="12">
        <v>24770.2</v>
      </c>
      <c r="D106" s="12">
        <f t="shared" si="1"/>
        <v>1.6673260611540994E-3</v>
      </c>
    </row>
    <row r="107" spans="1:4" x14ac:dyDescent="0.3">
      <c r="A107" s="53">
        <v>45526</v>
      </c>
      <c r="B107" s="49">
        <v>1750.65</v>
      </c>
      <c r="C107" s="12">
        <v>24811.5</v>
      </c>
      <c r="D107" s="12">
        <f t="shared" si="1"/>
        <v>4.6954033411931789E-4</v>
      </c>
    </row>
    <row r="108" spans="1:4" x14ac:dyDescent="0.3">
      <c r="A108" s="53">
        <v>45527</v>
      </c>
      <c r="B108" s="49">
        <v>1775.75</v>
      </c>
      <c r="C108" s="12">
        <v>24823.15</v>
      </c>
      <c r="D108" s="12">
        <f t="shared" si="1"/>
        <v>7.5514187361393325E-3</v>
      </c>
    </row>
    <row r="109" spans="1:4" x14ac:dyDescent="0.3">
      <c r="A109" s="53">
        <v>45530</v>
      </c>
      <c r="B109" s="49">
        <v>1772.45</v>
      </c>
      <c r="C109" s="12">
        <v>25010.6</v>
      </c>
      <c r="D109" s="12">
        <f t="shared" si="1"/>
        <v>2.8587878739420311E-4</v>
      </c>
    </row>
    <row r="110" spans="1:4" x14ac:dyDescent="0.3">
      <c r="A110" s="53">
        <v>45531</v>
      </c>
      <c r="B110" s="49">
        <v>1789.4</v>
      </c>
      <c r="C110" s="12">
        <v>25017.75</v>
      </c>
      <c r="D110" s="12">
        <f t="shared" si="1"/>
        <v>1.3830180571793446E-3</v>
      </c>
    </row>
    <row r="111" spans="1:4" x14ac:dyDescent="0.3">
      <c r="A111" s="53">
        <v>45532</v>
      </c>
      <c r="B111" s="49">
        <v>1811.85</v>
      </c>
      <c r="C111" s="12">
        <v>25052.35</v>
      </c>
      <c r="D111" s="12">
        <f t="shared" si="1"/>
        <v>3.9756749366826744E-3</v>
      </c>
    </row>
    <row r="112" spans="1:4" x14ac:dyDescent="0.3">
      <c r="A112" s="53">
        <v>45533</v>
      </c>
      <c r="B112" s="49">
        <v>1799.2</v>
      </c>
      <c r="C112" s="12">
        <v>25151.95</v>
      </c>
      <c r="D112" s="12">
        <f t="shared" si="1"/>
        <v>3.3377133780880101E-3</v>
      </c>
    </row>
    <row r="113" spans="1:4" x14ac:dyDescent="0.3">
      <c r="A113" s="53">
        <v>45534</v>
      </c>
      <c r="B113" s="49">
        <v>1821.65</v>
      </c>
      <c r="C113" s="12">
        <v>25235.9</v>
      </c>
      <c r="D113" s="12">
        <f t="shared" si="1"/>
        <v>1.6959965763059478E-3</v>
      </c>
    </row>
    <row r="114" spans="1:4" x14ac:dyDescent="0.3">
      <c r="A114" s="53">
        <v>45537</v>
      </c>
      <c r="B114" s="49">
        <v>1815.95</v>
      </c>
      <c r="C114" s="12">
        <v>25278.7</v>
      </c>
      <c r="D114" s="12">
        <f t="shared" si="1"/>
        <v>4.5492845755431141E-5</v>
      </c>
    </row>
    <row r="115" spans="1:4" x14ac:dyDescent="0.3">
      <c r="A115" s="53">
        <v>45538</v>
      </c>
      <c r="B115" s="49">
        <v>1811.5</v>
      </c>
      <c r="C115" s="12">
        <v>25279.85</v>
      </c>
      <c r="D115" s="12">
        <f t="shared" si="1"/>
        <v>-3.2100665154262318E-3</v>
      </c>
    </row>
    <row r="116" spans="1:4" x14ac:dyDescent="0.3">
      <c r="A116" s="53">
        <v>45539</v>
      </c>
      <c r="B116" s="49">
        <v>1832.85</v>
      </c>
      <c r="C116" s="12">
        <v>25198.7</v>
      </c>
      <c r="D116" s="12">
        <f t="shared" si="1"/>
        <v>-2.1270938580165715E-3</v>
      </c>
    </row>
    <row r="117" spans="1:4" x14ac:dyDescent="0.3">
      <c r="A117" s="53">
        <v>45540</v>
      </c>
      <c r="B117" s="49">
        <v>1826.5</v>
      </c>
      <c r="C117" s="12">
        <v>25145.1</v>
      </c>
      <c r="D117" s="12">
        <f t="shared" si="1"/>
        <v>-1.1650381187587128E-2</v>
      </c>
    </row>
    <row r="118" spans="1:4" x14ac:dyDescent="0.3">
      <c r="A118" s="53">
        <v>45541</v>
      </c>
      <c r="B118" s="49">
        <v>1824.55</v>
      </c>
      <c r="C118" s="12">
        <v>24852.15</v>
      </c>
      <c r="D118" s="12">
        <f t="shared" si="1"/>
        <v>3.3900487482974306E-3</v>
      </c>
    </row>
    <row r="119" spans="1:4" x14ac:dyDescent="0.3">
      <c r="A119" s="53">
        <v>45544</v>
      </c>
      <c r="B119" s="49">
        <v>1821.85</v>
      </c>
      <c r="C119" s="12">
        <v>24936.400000000001</v>
      </c>
      <c r="D119" s="12">
        <f t="shared" si="1"/>
        <v>4.1986814455974835E-3</v>
      </c>
    </row>
    <row r="120" spans="1:4" x14ac:dyDescent="0.3">
      <c r="A120" s="53">
        <v>45545</v>
      </c>
      <c r="B120" s="49">
        <v>1836.35</v>
      </c>
      <c r="C120" s="12">
        <v>25041.1</v>
      </c>
      <c r="D120" s="12">
        <f t="shared" si="1"/>
        <v>-4.8979477738596879E-3</v>
      </c>
    </row>
    <row r="121" spans="1:4" x14ac:dyDescent="0.3">
      <c r="A121" s="53">
        <v>45546</v>
      </c>
      <c r="B121" s="49">
        <v>1845.7</v>
      </c>
      <c r="C121" s="12">
        <v>24918.45</v>
      </c>
      <c r="D121" s="12">
        <f t="shared" si="1"/>
        <v>1.8879585206945083E-2</v>
      </c>
    </row>
    <row r="122" spans="1:4" x14ac:dyDescent="0.3">
      <c r="A122" s="53">
        <v>45547</v>
      </c>
      <c r="B122" s="49">
        <v>1865.4</v>
      </c>
      <c r="C122" s="12">
        <v>25388.9</v>
      </c>
      <c r="D122" s="12">
        <f t="shared" si="1"/>
        <v>-1.2761482380095812E-3</v>
      </c>
    </row>
    <row r="123" spans="1:4" x14ac:dyDescent="0.3">
      <c r="A123" s="53">
        <v>45548</v>
      </c>
      <c r="B123" s="49">
        <v>1853.75</v>
      </c>
      <c r="C123" s="12">
        <v>25356.5</v>
      </c>
      <c r="D123" s="12">
        <f t="shared" si="1"/>
        <v>1.0746751326089958E-3</v>
      </c>
    </row>
    <row r="124" spans="1:4" x14ac:dyDescent="0.3">
      <c r="A124" s="53">
        <v>45551</v>
      </c>
      <c r="B124" s="49">
        <v>1862.95</v>
      </c>
      <c r="C124" s="12">
        <v>25383.75</v>
      </c>
      <c r="D124" s="12">
        <f t="shared" si="1"/>
        <v>1.3709558280395637E-3</v>
      </c>
    </row>
    <row r="125" spans="1:4" x14ac:dyDescent="0.3">
      <c r="A125" s="53">
        <v>45552</v>
      </c>
      <c r="B125" s="49">
        <v>1866.1</v>
      </c>
      <c r="C125" s="12">
        <v>25418.55</v>
      </c>
      <c r="D125" s="12">
        <f t="shared" si="1"/>
        <v>-1.612995233795791E-3</v>
      </c>
    </row>
    <row r="126" spans="1:4" x14ac:dyDescent="0.3">
      <c r="A126" s="53">
        <v>45553</v>
      </c>
      <c r="B126" s="49">
        <v>1836</v>
      </c>
      <c r="C126" s="12">
        <v>25377.55</v>
      </c>
      <c r="D126" s="12">
        <f t="shared" si="1"/>
        <v>1.5072376963103215E-3</v>
      </c>
    </row>
    <row r="127" spans="1:4" x14ac:dyDescent="0.3">
      <c r="A127" s="53">
        <v>45554</v>
      </c>
      <c r="B127" s="49">
        <v>1846.05</v>
      </c>
      <c r="C127" s="12">
        <v>25415.8</v>
      </c>
      <c r="D127" s="12">
        <f t="shared" si="1"/>
        <v>1.4760503308965348E-2</v>
      </c>
    </row>
    <row r="128" spans="1:4" x14ac:dyDescent="0.3">
      <c r="A128" s="53">
        <v>45555</v>
      </c>
      <c r="B128" s="49">
        <v>1865.75</v>
      </c>
      <c r="C128" s="12">
        <v>25790.95</v>
      </c>
      <c r="D128" s="12">
        <f t="shared" si="1"/>
        <v>5.7423243424534007E-3</v>
      </c>
    </row>
    <row r="129" spans="1:4" x14ac:dyDescent="0.3">
      <c r="A129" s="53">
        <v>45558</v>
      </c>
      <c r="B129" s="49">
        <v>1862.7</v>
      </c>
      <c r="C129" s="12">
        <v>25939.05</v>
      </c>
      <c r="D129" s="12">
        <f t="shared" si="1"/>
        <v>5.2045082607195824E-5</v>
      </c>
    </row>
    <row r="130" spans="1:4" x14ac:dyDescent="0.3">
      <c r="A130" s="53">
        <v>45559</v>
      </c>
      <c r="B130" s="49">
        <v>1868.1</v>
      </c>
      <c r="C130" s="12">
        <v>25940.400000000001</v>
      </c>
      <c r="D130" s="12">
        <f t="shared" si="1"/>
        <v>2.4575565527131422E-3</v>
      </c>
    </row>
    <row r="131" spans="1:4" x14ac:dyDescent="0.3">
      <c r="A131" s="53">
        <v>45560</v>
      </c>
      <c r="B131" s="49">
        <v>1870.55</v>
      </c>
      <c r="C131" s="12">
        <v>26004.15</v>
      </c>
      <c r="D131" s="12">
        <f t="shared" ref="D131:D194" si="2">(C132-C131)/C131</f>
        <v>8.1486993422202926E-3</v>
      </c>
    </row>
    <row r="132" spans="1:4" x14ac:dyDescent="0.3">
      <c r="A132" s="53">
        <v>45561</v>
      </c>
      <c r="B132" s="49">
        <v>1898.4</v>
      </c>
      <c r="C132" s="12">
        <v>26216.05</v>
      </c>
      <c r="D132" s="12">
        <f t="shared" si="2"/>
        <v>-1.4151636116042862E-3</v>
      </c>
    </row>
    <row r="133" spans="1:4" x14ac:dyDescent="0.3">
      <c r="A133" s="53">
        <v>45562</v>
      </c>
      <c r="B133" s="49">
        <v>1948.7</v>
      </c>
      <c r="C133" s="12">
        <v>26178.95</v>
      </c>
      <c r="D133" s="12">
        <f t="shared" si="2"/>
        <v>-1.4060915353748036E-2</v>
      </c>
    </row>
    <row r="134" spans="1:4" x14ac:dyDescent="0.3">
      <c r="A134" s="53">
        <v>45565</v>
      </c>
      <c r="B134" s="49">
        <v>1926.7</v>
      </c>
      <c r="C134" s="12">
        <v>25810.85</v>
      </c>
      <c r="D134" s="12">
        <f t="shared" si="2"/>
        <v>-5.4047038357888603E-4</v>
      </c>
    </row>
    <row r="135" spans="1:4" x14ac:dyDescent="0.3">
      <c r="A135" s="53">
        <v>45566</v>
      </c>
      <c r="B135" s="49">
        <v>1919.95</v>
      </c>
      <c r="C135" s="12">
        <v>25796.9</v>
      </c>
      <c r="D135" s="12">
        <f t="shared" si="2"/>
        <v>-2.1196345297303278E-2</v>
      </c>
    </row>
    <row r="136" spans="1:4" x14ac:dyDescent="0.3">
      <c r="A136" s="53">
        <v>45568</v>
      </c>
      <c r="B136" s="49">
        <v>1910.85</v>
      </c>
      <c r="C136" s="12">
        <v>25250.1</v>
      </c>
      <c r="D136" s="12">
        <f t="shared" si="2"/>
        <v>-9.3266957358584725E-3</v>
      </c>
    </row>
    <row r="137" spans="1:4" x14ac:dyDescent="0.3">
      <c r="A137" s="53">
        <v>45569</v>
      </c>
      <c r="B137" s="49">
        <v>1910.05</v>
      </c>
      <c r="C137" s="12">
        <v>25014.6</v>
      </c>
      <c r="D137" s="12">
        <f t="shared" si="2"/>
        <v>-8.7488906478615912E-3</v>
      </c>
    </row>
    <row r="138" spans="1:4" x14ac:dyDescent="0.3">
      <c r="A138" s="53">
        <v>45572</v>
      </c>
      <c r="B138" s="49">
        <v>1905.25</v>
      </c>
      <c r="C138" s="12">
        <v>24795.75</v>
      </c>
      <c r="D138" s="12">
        <f t="shared" si="2"/>
        <v>8.7676315497616109E-3</v>
      </c>
    </row>
    <row r="139" spans="1:4" x14ac:dyDescent="0.3">
      <c r="A139" s="53">
        <v>45573</v>
      </c>
      <c r="B139" s="49">
        <v>1917.15</v>
      </c>
      <c r="C139" s="12">
        <v>25013.15</v>
      </c>
      <c r="D139" s="12">
        <f t="shared" si="2"/>
        <v>-1.2473438971101491E-3</v>
      </c>
    </row>
    <row r="140" spans="1:4" x14ac:dyDescent="0.3">
      <c r="A140" s="53">
        <v>45574</v>
      </c>
      <c r="B140" s="49">
        <v>1930.85</v>
      </c>
      <c r="C140" s="12">
        <v>24981.95</v>
      </c>
      <c r="D140" s="12">
        <f t="shared" si="2"/>
        <v>6.604768642960217E-4</v>
      </c>
    </row>
    <row r="141" spans="1:4" x14ac:dyDescent="0.3">
      <c r="A141" s="53">
        <v>45575</v>
      </c>
      <c r="B141" s="49">
        <v>1887.75</v>
      </c>
      <c r="C141" s="12">
        <v>24998.45</v>
      </c>
      <c r="D141" s="12">
        <f t="shared" si="2"/>
        <v>-1.368084821258947E-3</v>
      </c>
    </row>
    <row r="142" spans="1:4" x14ac:dyDescent="0.3">
      <c r="A142" s="53">
        <v>45576</v>
      </c>
      <c r="B142" s="49">
        <v>1901.95</v>
      </c>
      <c r="C142" s="12">
        <v>24964.25</v>
      </c>
      <c r="D142" s="12">
        <f t="shared" si="2"/>
        <v>6.5573770491803574E-3</v>
      </c>
    </row>
    <row r="143" spans="1:4" x14ac:dyDescent="0.3">
      <c r="A143" s="53">
        <v>45579</v>
      </c>
      <c r="B143" s="49">
        <v>1909.75</v>
      </c>
      <c r="C143" s="12">
        <v>25127.95</v>
      </c>
      <c r="D143" s="12">
        <f t="shared" si="2"/>
        <v>-2.8096203629823435E-3</v>
      </c>
    </row>
    <row r="144" spans="1:4" x14ac:dyDescent="0.3">
      <c r="A144" s="53">
        <v>45580</v>
      </c>
      <c r="B144" s="49">
        <v>1898.45</v>
      </c>
      <c r="C144" s="12">
        <v>25057.35</v>
      </c>
      <c r="D144" s="12">
        <f t="shared" si="2"/>
        <v>-3.4341221238478642E-3</v>
      </c>
    </row>
    <row r="145" spans="1:4" x14ac:dyDescent="0.3">
      <c r="A145" s="53">
        <v>45581</v>
      </c>
      <c r="B145" s="49">
        <v>1898.5</v>
      </c>
      <c r="C145" s="12">
        <v>24971.3</v>
      </c>
      <c r="D145" s="12">
        <f t="shared" si="2"/>
        <v>-8.8681806714108087E-3</v>
      </c>
    </row>
    <row r="146" spans="1:4" x14ac:dyDescent="0.3">
      <c r="A146" s="53">
        <v>45582</v>
      </c>
      <c r="B146" s="49">
        <v>1889.55</v>
      </c>
      <c r="C146" s="12">
        <v>24749.85</v>
      </c>
      <c r="D146" s="12">
        <f t="shared" si="2"/>
        <v>4.2101265260193789E-3</v>
      </c>
    </row>
    <row r="147" spans="1:4" x14ac:dyDescent="0.3">
      <c r="A147" s="53">
        <v>45583</v>
      </c>
      <c r="B147" s="49">
        <v>1910.35</v>
      </c>
      <c r="C147" s="12">
        <v>24854.05</v>
      </c>
      <c r="D147" s="12">
        <f t="shared" si="2"/>
        <v>-2.9351353199981787E-3</v>
      </c>
    </row>
    <row r="148" spans="1:4" x14ac:dyDescent="0.3">
      <c r="A148" s="53">
        <v>45586</v>
      </c>
      <c r="B148" s="49">
        <v>1897</v>
      </c>
      <c r="C148" s="12">
        <v>24781.1</v>
      </c>
      <c r="D148" s="12">
        <f t="shared" si="2"/>
        <v>-1.2469180141317376E-2</v>
      </c>
    </row>
    <row r="149" spans="1:4" x14ac:dyDescent="0.3">
      <c r="A149" s="53">
        <v>45587</v>
      </c>
      <c r="B149" s="49">
        <v>1887.55</v>
      </c>
      <c r="C149" s="12">
        <v>24472.1</v>
      </c>
      <c r="D149" s="12">
        <f t="shared" si="2"/>
        <v>-1.4955806816741737E-3</v>
      </c>
    </row>
    <row r="150" spans="1:4" x14ac:dyDescent="0.3">
      <c r="A150" s="53">
        <v>45588</v>
      </c>
      <c r="B150" s="49">
        <v>1839.35</v>
      </c>
      <c r="C150" s="12">
        <v>24435.5</v>
      </c>
      <c r="D150" s="12">
        <f t="shared" si="2"/>
        <v>-1.4773587608192403E-3</v>
      </c>
    </row>
    <row r="151" spans="1:4" x14ac:dyDescent="0.3">
      <c r="A151" s="53">
        <v>45589</v>
      </c>
      <c r="B151" s="49">
        <v>1848.9</v>
      </c>
      <c r="C151" s="12">
        <v>24399.4</v>
      </c>
      <c r="D151" s="12">
        <f t="shared" si="2"/>
        <v>-8.9592367025419541E-3</v>
      </c>
    </row>
    <row r="152" spans="1:4" x14ac:dyDescent="0.3">
      <c r="A152" s="53">
        <v>45590</v>
      </c>
      <c r="B152" s="49">
        <v>1860.4</v>
      </c>
      <c r="C152" s="12">
        <v>24180.799999999999</v>
      </c>
      <c r="D152" s="12">
        <f t="shared" si="2"/>
        <v>6.5485840005294364E-3</v>
      </c>
    </row>
    <row r="153" spans="1:4" x14ac:dyDescent="0.3">
      <c r="A153" s="53">
        <v>45593</v>
      </c>
      <c r="B153" s="49">
        <v>1902.9</v>
      </c>
      <c r="C153" s="12">
        <v>24339.15</v>
      </c>
      <c r="D153" s="12">
        <f t="shared" si="2"/>
        <v>5.2466910307055539E-3</v>
      </c>
    </row>
    <row r="154" spans="1:4" x14ac:dyDescent="0.3">
      <c r="A154" s="53">
        <v>45594</v>
      </c>
      <c r="B154" s="49">
        <v>1871.6</v>
      </c>
      <c r="C154" s="12">
        <v>24466.85</v>
      </c>
      <c r="D154" s="12">
        <f t="shared" si="2"/>
        <v>-5.1498251716097501E-3</v>
      </c>
    </row>
    <row r="155" spans="1:4" x14ac:dyDescent="0.3">
      <c r="A155" s="53">
        <v>45595</v>
      </c>
      <c r="B155" s="49">
        <v>1852.1</v>
      </c>
      <c r="C155" s="12">
        <v>24340.85</v>
      </c>
      <c r="D155" s="12">
        <f t="shared" si="2"/>
        <v>-5.5667735514577351E-3</v>
      </c>
    </row>
    <row r="156" spans="1:4" x14ac:dyDescent="0.3">
      <c r="A156" s="53">
        <v>45596</v>
      </c>
      <c r="B156" s="49">
        <v>1848.9</v>
      </c>
      <c r="C156" s="12">
        <v>24205.35</v>
      </c>
      <c r="D156" s="12">
        <f t="shared" si="2"/>
        <v>4.0900048956119209E-3</v>
      </c>
    </row>
    <row r="157" spans="1:4" x14ac:dyDescent="0.3">
      <c r="A157" s="53">
        <v>45597</v>
      </c>
      <c r="B157" s="49">
        <v>1858.4</v>
      </c>
      <c r="C157" s="12">
        <v>24304.35</v>
      </c>
      <c r="D157" s="12">
        <f t="shared" si="2"/>
        <v>-1.2713773460306488E-2</v>
      </c>
    </row>
    <row r="158" spans="1:4" x14ac:dyDescent="0.3">
      <c r="A158" s="53">
        <v>45600</v>
      </c>
      <c r="B158" s="49">
        <v>1808.9</v>
      </c>
      <c r="C158" s="12">
        <v>23995.35</v>
      </c>
      <c r="D158" s="12">
        <f t="shared" si="2"/>
        <v>9.0830098331552041E-3</v>
      </c>
    </row>
    <row r="159" spans="1:4" x14ac:dyDescent="0.3">
      <c r="A159" s="53">
        <v>45601</v>
      </c>
      <c r="B159" s="49">
        <v>1803.6</v>
      </c>
      <c r="C159" s="12">
        <v>24213.3</v>
      </c>
      <c r="D159" s="12">
        <f t="shared" si="2"/>
        <v>1.1181871120417292E-2</v>
      </c>
    </row>
    <row r="160" spans="1:4" x14ac:dyDescent="0.3">
      <c r="A160" s="53">
        <v>45602</v>
      </c>
      <c r="B160" s="49">
        <v>1827.45</v>
      </c>
      <c r="C160" s="12">
        <v>24484.05</v>
      </c>
      <c r="D160" s="12">
        <f t="shared" si="2"/>
        <v>-1.162797821438858E-2</v>
      </c>
    </row>
    <row r="161" spans="1:4" x14ac:dyDescent="0.3">
      <c r="A161" s="53">
        <v>45603</v>
      </c>
      <c r="B161" s="49">
        <v>1790.95</v>
      </c>
      <c r="C161" s="12">
        <v>24199.35</v>
      </c>
      <c r="D161" s="12">
        <f t="shared" si="2"/>
        <v>-2.1136931363858044E-3</v>
      </c>
    </row>
    <row r="162" spans="1:4" x14ac:dyDescent="0.3">
      <c r="A162" s="53">
        <v>45604</v>
      </c>
      <c r="B162" s="49">
        <v>1809.6</v>
      </c>
      <c r="C162" s="12">
        <v>24148.2</v>
      </c>
      <c r="D162" s="12">
        <f t="shared" si="2"/>
        <v>-2.8573558277641628E-4</v>
      </c>
    </row>
    <row r="163" spans="1:4" x14ac:dyDescent="0.3">
      <c r="A163" s="53">
        <v>45607</v>
      </c>
      <c r="B163" s="49">
        <v>1794.6</v>
      </c>
      <c r="C163" s="12">
        <v>24141.3</v>
      </c>
      <c r="D163" s="12">
        <f t="shared" si="2"/>
        <v>-1.0680866399075383E-2</v>
      </c>
    </row>
    <row r="164" spans="1:4" x14ac:dyDescent="0.3">
      <c r="A164" s="53">
        <v>45608</v>
      </c>
      <c r="B164" s="49">
        <v>1800.85</v>
      </c>
      <c r="C164" s="12">
        <v>23883.45</v>
      </c>
      <c r="D164" s="12">
        <f t="shared" si="2"/>
        <v>-1.3582627300494754E-2</v>
      </c>
    </row>
    <row r="165" spans="1:4" x14ac:dyDescent="0.3">
      <c r="A165" s="53">
        <v>45609</v>
      </c>
      <c r="B165" s="49">
        <v>1779</v>
      </c>
      <c r="C165" s="12">
        <v>23559.05</v>
      </c>
      <c r="D165" s="12">
        <f t="shared" si="2"/>
        <v>-1.118466152073133E-3</v>
      </c>
    </row>
    <row r="166" spans="1:4" x14ac:dyDescent="0.3">
      <c r="A166" s="53">
        <v>45610</v>
      </c>
      <c r="B166" s="49">
        <v>1768.2</v>
      </c>
      <c r="C166" s="12">
        <v>23532.7</v>
      </c>
      <c r="D166" s="12">
        <f t="shared" si="2"/>
        <v>-3.3527814487925929E-3</v>
      </c>
    </row>
    <row r="167" spans="1:4" x14ac:dyDescent="0.3">
      <c r="A167" s="53">
        <v>45614</v>
      </c>
      <c r="B167" s="49">
        <v>1747.75</v>
      </c>
      <c r="C167" s="12">
        <v>23453.8</v>
      </c>
      <c r="D167" s="12">
        <f t="shared" si="2"/>
        <v>2.7586148086877491E-3</v>
      </c>
    </row>
    <row r="168" spans="1:4" x14ac:dyDescent="0.3">
      <c r="A168" s="53">
        <v>45615</v>
      </c>
      <c r="B168" s="49">
        <v>1777.25</v>
      </c>
      <c r="C168" s="12">
        <v>23518.5</v>
      </c>
      <c r="D168" s="12">
        <f t="shared" si="2"/>
        <v>-7.1688245423814677E-3</v>
      </c>
    </row>
    <row r="169" spans="1:4" x14ac:dyDescent="0.3">
      <c r="A169" s="53">
        <v>45617</v>
      </c>
      <c r="B169" s="49">
        <v>1780</v>
      </c>
      <c r="C169" s="12">
        <v>23349.9</v>
      </c>
      <c r="D169" s="12">
        <f t="shared" si="2"/>
        <v>2.3869481239748285E-2</v>
      </c>
    </row>
    <row r="170" spans="1:4" x14ac:dyDescent="0.3">
      <c r="A170" s="53">
        <v>45618</v>
      </c>
      <c r="B170" s="49">
        <v>1795.3</v>
      </c>
      <c r="C170" s="12">
        <v>23907.25</v>
      </c>
      <c r="D170" s="12">
        <f t="shared" si="2"/>
        <v>1.316127952817666E-2</v>
      </c>
    </row>
    <row r="171" spans="1:4" x14ac:dyDescent="0.3">
      <c r="A171" s="53">
        <v>45621</v>
      </c>
      <c r="B171" s="49">
        <v>1798.9</v>
      </c>
      <c r="C171" s="12">
        <v>24221.9</v>
      </c>
      <c r="D171" s="12">
        <f t="shared" si="2"/>
        <v>-1.1312077087264605E-3</v>
      </c>
    </row>
    <row r="172" spans="1:4" x14ac:dyDescent="0.3">
      <c r="A172" s="53">
        <v>45622</v>
      </c>
      <c r="B172" s="49">
        <v>1761.6</v>
      </c>
      <c r="C172" s="12">
        <v>24194.5</v>
      </c>
      <c r="D172" s="12">
        <f t="shared" si="2"/>
        <v>3.3230692926078842E-3</v>
      </c>
    </row>
    <row r="173" spans="1:4" x14ac:dyDescent="0.3">
      <c r="A173" s="53">
        <v>45623</v>
      </c>
      <c r="B173" s="49">
        <v>1749.45</v>
      </c>
      <c r="C173" s="12">
        <v>24274.9</v>
      </c>
      <c r="D173" s="12">
        <f t="shared" si="2"/>
        <v>-1.4861029293632517E-2</v>
      </c>
    </row>
    <row r="174" spans="1:4" x14ac:dyDescent="0.3">
      <c r="A174" s="53">
        <v>45624</v>
      </c>
      <c r="B174" s="49">
        <v>1734.25</v>
      </c>
      <c r="C174" s="12">
        <v>23914.15</v>
      </c>
      <c r="D174" s="12">
        <f t="shared" si="2"/>
        <v>9.072034757664273E-3</v>
      </c>
    </row>
    <row r="175" spans="1:4" x14ac:dyDescent="0.3">
      <c r="A175" s="53">
        <v>45625</v>
      </c>
      <c r="B175" s="49">
        <v>1780.9</v>
      </c>
      <c r="C175" s="12">
        <v>24131.1</v>
      </c>
      <c r="D175" s="12">
        <f t="shared" si="2"/>
        <v>6.0067713448620549E-3</v>
      </c>
    </row>
    <row r="176" spans="1:4" x14ac:dyDescent="0.3">
      <c r="A176" s="53">
        <v>45628</v>
      </c>
      <c r="B176" s="49">
        <v>1808.55</v>
      </c>
      <c r="C176" s="12">
        <v>24276.05</v>
      </c>
      <c r="D176" s="12">
        <f t="shared" si="2"/>
        <v>7.4600274756396606E-3</v>
      </c>
    </row>
    <row r="177" spans="1:4" x14ac:dyDescent="0.3">
      <c r="A177" s="53">
        <v>45629</v>
      </c>
      <c r="B177" s="49">
        <v>1800.05</v>
      </c>
      <c r="C177" s="12">
        <v>24457.15</v>
      </c>
      <c r="D177" s="12">
        <f t="shared" si="2"/>
        <v>4.2114473681517558E-4</v>
      </c>
    </row>
    <row r="178" spans="1:4" x14ac:dyDescent="0.3">
      <c r="A178" s="53">
        <v>45630</v>
      </c>
      <c r="B178" s="49">
        <v>1800.2</v>
      </c>
      <c r="C178" s="12">
        <v>24467.45</v>
      </c>
      <c r="D178" s="12">
        <f t="shared" si="2"/>
        <v>9.8477773531774147E-3</v>
      </c>
    </row>
    <row r="179" spans="1:4" x14ac:dyDescent="0.3">
      <c r="A179" s="53">
        <v>45631</v>
      </c>
      <c r="B179" s="49">
        <v>1813.45</v>
      </c>
      <c r="C179" s="12">
        <v>24708.400000000001</v>
      </c>
      <c r="D179" s="12">
        <f t="shared" si="2"/>
        <v>-1.2384452251057204E-3</v>
      </c>
    </row>
    <row r="180" spans="1:4" x14ac:dyDescent="0.3">
      <c r="A180" s="53">
        <v>45632</v>
      </c>
      <c r="B180" s="49">
        <v>1804.85</v>
      </c>
      <c r="C180" s="12">
        <v>24677.8</v>
      </c>
      <c r="D180" s="12">
        <f t="shared" si="2"/>
        <v>-2.3827083451522938E-3</v>
      </c>
    </row>
    <row r="181" spans="1:4" x14ac:dyDescent="0.3">
      <c r="A181" s="53">
        <v>45635</v>
      </c>
      <c r="B181" s="49">
        <v>1806.65</v>
      </c>
      <c r="C181" s="12">
        <v>24619</v>
      </c>
      <c r="D181" s="12">
        <f t="shared" si="2"/>
        <v>-3.6354035501038739E-4</v>
      </c>
    </row>
    <row r="182" spans="1:4" x14ac:dyDescent="0.3">
      <c r="A182" s="53">
        <v>45636</v>
      </c>
      <c r="B182" s="49">
        <v>1809.95</v>
      </c>
      <c r="C182" s="12">
        <v>24610.05</v>
      </c>
      <c r="D182" s="12">
        <f t="shared" si="2"/>
        <v>1.29012334391844E-3</v>
      </c>
    </row>
    <row r="183" spans="1:4" x14ac:dyDescent="0.3">
      <c r="A183" s="53">
        <v>45637</v>
      </c>
      <c r="B183" s="49">
        <v>1814</v>
      </c>
      <c r="C183" s="12">
        <v>24641.8</v>
      </c>
      <c r="D183" s="12">
        <f t="shared" si="2"/>
        <v>-3.77813309092674E-3</v>
      </c>
    </row>
    <row r="184" spans="1:4" x14ac:dyDescent="0.3">
      <c r="A184" s="53">
        <v>45638</v>
      </c>
      <c r="B184" s="49">
        <v>1805.45</v>
      </c>
      <c r="C184" s="12">
        <v>24548.7</v>
      </c>
      <c r="D184" s="12">
        <f t="shared" si="2"/>
        <v>8.9454838749098136E-3</v>
      </c>
    </row>
    <row r="185" spans="1:4" x14ac:dyDescent="0.3">
      <c r="A185" s="53">
        <v>45639</v>
      </c>
      <c r="B185" s="49">
        <v>1813.45</v>
      </c>
      <c r="C185" s="12">
        <v>24768.3</v>
      </c>
      <c r="D185" s="12">
        <f t="shared" si="2"/>
        <v>-4.0394375068131148E-3</v>
      </c>
    </row>
    <row r="186" spans="1:4" x14ac:dyDescent="0.3">
      <c r="A186" s="53">
        <v>45642</v>
      </c>
      <c r="B186" s="49">
        <v>1809.8</v>
      </c>
      <c r="C186" s="12">
        <v>24668.25</v>
      </c>
      <c r="D186" s="12">
        <f t="shared" si="2"/>
        <v>-1.3468730047733423E-2</v>
      </c>
    </row>
    <row r="187" spans="1:4" x14ac:dyDescent="0.3">
      <c r="A187" s="53">
        <v>45643</v>
      </c>
      <c r="B187" s="49">
        <v>1789.05</v>
      </c>
      <c r="C187" s="12">
        <v>24336</v>
      </c>
      <c r="D187" s="12">
        <f t="shared" si="2"/>
        <v>-5.6356837606838205E-3</v>
      </c>
    </row>
    <row r="188" spans="1:4" x14ac:dyDescent="0.3">
      <c r="A188" s="53">
        <v>45644</v>
      </c>
      <c r="B188" s="49">
        <v>1801.05</v>
      </c>
      <c r="C188" s="12">
        <v>24198.85</v>
      </c>
      <c r="D188" s="12">
        <f t="shared" si="2"/>
        <v>-1.0213295259898624E-2</v>
      </c>
    </row>
    <row r="189" spans="1:4" x14ac:dyDescent="0.3">
      <c r="A189" s="53">
        <v>45645</v>
      </c>
      <c r="B189" s="49">
        <v>1823.3</v>
      </c>
      <c r="C189" s="12">
        <v>23951.7</v>
      </c>
      <c r="D189" s="12">
        <f t="shared" si="2"/>
        <v>-1.520560127256106E-2</v>
      </c>
    </row>
    <row r="190" spans="1:4" x14ac:dyDescent="0.3">
      <c r="A190" s="53">
        <v>45646</v>
      </c>
      <c r="B190" s="49">
        <v>1808.85</v>
      </c>
      <c r="C190" s="12">
        <v>23587.5</v>
      </c>
      <c r="D190" s="12">
        <f t="shared" si="2"/>
        <v>7.0355060943296547E-3</v>
      </c>
    </row>
    <row r="191" spans="1:4" x14ac:dyDescent="0.3">
      <c r="A191" s="53">
        <v>45649</v>
      </c>
      <c r="B191" s="49">
        <v>1814.6</v>
      </c>
      <c r="C191" s="12">
        <v>23753.45</v>
      </c>
      <c r="D191" s="12">
        <f t="shared" si="2"/>
        <v>-1.0861580107310422E-3</v>
      </c>
    </row>
    <row r="192" spans="1:4" x14ac:dyDescent="0.3">
      <c r="A192" s="53">
        <v>45650</v>
      </c>
      <c r="B192" s="49">
        <v>1819</v>
      </c>
      <c r="C192" s="12">
        <v>23727.65</v>
      </c>
      <c r="D192" s="12">
        <f t="shared" si="2"/>
        <v>9.5036803054660999E-4</v>
      </c>
    </row>
    <row r="193" spans="1:4" x14ac:dyDescent="0.3">
      <c r="A193" s="53">
        <v>45652</v>
      </c>
      <c r="B193" s="49">
        <v>1841.35</v>
      </c>
      <c r="C193" s="12">
        <v>23750.2</v>
      </c>
      <c r="D193" s="12">
        <f t="shared" si="2"/>
        <v>2.6610302229034166E-3</v>
      </c>
    </row>
    <row r="194" spans="1:4" x14ac:dyDescent="0.3">
      <c r="A194" s="53">
        <v>45653</v>
      </c>
      <c r="B194" s="49">
        <v>1861.25</v>
      </c>
      <c r="C194" s="12">
        <v>23813.4</v>
      </c>
      <c r="D194" s="12">
        <f t="shared" si="2"/>
        <v>-7.0758480519371439E-3</v>
      </c>
    </row>
    <row r="195" spans="1:4" x14ac:dyDescent="0.3">
      <c r="A195" s="53">
        <v>45656</v>
      </c>
      <c r="B195" s="49">
        <v>1883.9</v>
      </c>
      <c r="C195" s="12">
        <v>23644.9</v>
      </c>
      <c r="D195" s="12">
        <f t="shared" ref="D195:D248" si="3">(C196-C195)/C195</f>
        <v>-4.2292418239105594E-6</v>
      </c>
    </row>
    <row r="196" spans="1:4" x14ac:dyDescent="0.3">
      <c r="A196" s="53">
        <v>45657</v>
      </c>
      <c r="B196" s="49">
        <v>1886.35</v>
      </c>
      <c r="C196" s="12">
        <v>23644.799999999999</v>
      </c>
      <c r="D196" s="12">
        <f t="shared" si="3"/>
        <v>4.1489037758831622E-3</v>
      </c>
    </row>
    <row r="197" spans="1:4" x14ac:dyDescent="0.3">
      <c r="A197" s="53">
        <v>45658</v>
      </c>
      <c r="B197" s="49">
        <v>1889.95</v>
      </c>
      <c r="C197" s="12">
        <v>23742.9</v>
      </c>
      <c r="D197" s="12">
        <f t="shared" si="3"/>
        <v>1.8774033500541212E-2</v>
      </c>
    </row>
    <row r="198" spans="1:4" x14ac:dyDescent="0.3">
      <c r="A198" s="53">
        <v>45659</v>
      </c>
      <c r="B198" s="49">
        <v>1878</v>
      </c>
      <c r="C198" s="12">
        <v>24188.65</v>
      </c>
      <c r="D198" s="12">
        <f t="shared" si="3"/>
        <v>-7.6027393012839265E-3</v>
      </c>
    </row>
    <row r="199" spans="1:4" x14ac:dyDescent="0.3">
      <c r="A199" s="53">
        <v>45660</v>
      </c>
      <c r="B199" s="49">
        <v>1849.65</v>
      </c>
      <c r="C199" s="12">
        <v>24004.75</v>
      </c>
      <c r="D199" s="12">
        <f t="shared" si="3"/>
        <v>-1.6192628542267707E-2</v>
      </c>
    </row>
    <row r="200" spans="1:4" x14ac:dyDescent="0.3">
      <c r="A200" s="53">
        <v>45663</v>
      </c>
      <c r="B200" s="49">
        <v>1847.4</v>
      </c>
      <c r="C200" s="12">
        <v>23616.05</v>
      </c>
      <c r="D200" s="12">
        <f t="shared" si="3"/>
        <v>3.889304096155038E-3</v>
      </c>
    </row>
    <row r="201" spans="1:4" x14ac:dyDescent="0.3">
      <c r="A201" s="53">
        <v>45664</v>
      </c>
      <c r="B201" s="49">
        <v>1853.4</v>
      </c>
      <c r="C201" s="12">
        <v>23707.9</v>
      </c>
      <c r="D201" s="12">
        <f t="shared" si="3"/>
        <v>-7.9931162186447249E-4</v>
      </c>
    </row>
    <row r="202" spans="1:4" x14ac:dyDescent="0.3">
      <c r="A202" s="53">
        <v>45665</v>
      </c>
      <c r="B202" s="49">
        <v>1837.75</v>
      </c>
      <c r="C202" s="12">
        <v>23688.95</v>
      </c>
      <c r="D202" s="12">
        <f t="shared" si="3"/>
        <v>-6.8576277124988956E-3</v>
      </c>
    </row>
    <row r="203" spans="1:4" x14ac:dyDescent="0.3">
      <c r="A203" s="53">
        <v>45666</v>
      </c>
      <c r="B203" s="49">
        <v>1826.35</v>
      </c>
      <c r="C203" s="12">
        <v>23526.5</v>
      </c>
      <c r="D203" s="12">
        <f t="shared" si="3"/>
        <v>-4.0379997024631801E-3</v>
      </c>
    </row>
    <row r="204" spans="1:4" x14ac:dyDescent="0.3">
      <c r="A204" s="53">
        <v>45667</v>
      </c>
      <c r="B204" s="49">
        <v>1784.8</v>
      </c>
      <c r="C204" s="12">
        <v>23431.5</v>
      </c>
      <c r="D204" s="12">
        <f t="shared" si="3"/>
        <v>-1.4747241960608552E-2</v>
      </c>
    </row>
    <row r="205" spans="1:4" x14ac:dyDescent="0.3">
      <c r="A205" s="53">
        <v>45670</v>
      </c>
      <c r="B205" s="49">
        <v>1746.9</v>
      </c>
      <c r="C205" s="12">
        <v>23085.95</v>
      </c>
      <c r="D205" s="12">
        <f t="shared" si="3"/>
        <v>3.9028066854514777E-3</v>
      </c>
    </row>
    <row r="206" spans="1:4" x14ac:dyDescent="0.3">
      <c r="A206" s="53">
        <v>45671</v>
      </c>
      <c r="B206" s="49">
        <v>1770.85</v>
      </c>
      <c r="C206" s="12">
        <v>23176.05</v>
      </c>
      <c r="D206" s="12">
        <f t="shared" si="3"/>
        <v>1.6029478707545702E-3</v>
      </c>
    </row>
    <row r="207" spans="1:4" x14ac:dyDescent="0.3">
      <c r="A207" s="53">
        <v>45672</v>
      </c>
      <c r="B207" s="49">
        <v>1756.85</v>
      </c>
      <c r="C207" s="12">
        <v>23213.200000000001</v>
      </c>
      <c r="D207" s="12">
        <f t="shared" si="3"/>
        <v>4.2475832715867931E-3</v>
      </c>
    </row>
    <row r="208" spans="1:4" x14ac:dyDescent="0.3">
      <c r="A208" s="53">
        <v>45673</v>
      </c>
      <c r="B208" s="49">
        <v>1763.3</v>
      </c>
      <c r="C208" s="12">
        <v>23311.8</v>
      </c>
      <c r="D208" s="12">
        <f t="shared" si="3"/>
        <v>-4.6585849226571325E-3</v>
      </c>
    </row>
    <row r="209" spans="1:4" x14ac:dyDescent="0.3">
      <c r="A209" s="53">
        <v>45674</v>
      </c>
      <c r="B209" s="49">
        <v>1786.55</v>
      </c>
      <c r="C209" s="12">
        <v>23203.200000000001</v>
      </c>
      <c r="D209" s="12">
        <f t="shared" si="3"/>
        <v>6.1004516618397148E-3</v>
      </c>
    </row>
    <row r="210" spans="1:4" x14ac:dyDescent="0.3">
      <c r="A210" s="53">
        <v>45677</v>
      </c>
      <c r="B210" s="49">
        <v>1778.25</v>
      </c>
      <c r="C210" s="12">
        <v>23344.75</v>
      </c>
      <c r="D210" s="12">
        <f t="shared" si="3"/>
        <v>-1.3711862410177815E-2</v>
      </c>
    </row>
    <row r="211" spans="1:4" x14ac:dyDescent="0.3">
      <c r="A211" s="53">
        <v>45678</v>
      </c>
      <c r="B211" s="49">
        <v>1762.7</v>
      </c>
      <c r="C211" s="12">
        <v>23024.65</v>
      </c>
      <c r="D211" s="12">
        <f t="shared" si="3"/>
        <v>5.6765249417470879E-3</v>
      </c>
    </row>
    <row r="212" spans="1:4" x14ac:dyDescent="0.3">
      <c r="A212" s="53">
        <v>45679</v>
      </c>
      <c r="B212" s="49">
        <v>1798.95</v>
      </c>
      <c r="C212" s="12">
        <v>23155.35</v>
      </c>
      <c r="D212" s="12">
        <f t="shared" si="3"/>
        <v>2.1593281898135853E-3</v>
      </c>
    </row>
    <row r="213" spans="1:4" x14ac:dyDescent="0.3">
      <c r="A213" s="53">
        <v>45680</v>
      </c>
      <c r="B213" s="49">
        <v>1833.6</v>
      </c>
      <c r="C213" s="12">
        <v>23205.35</v>
      </c>
      <c r="D213" s="12">
        <f t="shared" si="3"/>
        <v>-4.8760307429104848E-3</v>
      </c>
    </row>
    <row r="214" spans="1:4" x14ac:dyDescent="0.3">
      <c r="A214" s="53">
        <v>45681</v>
      </c>
      <c r="B214" s="49">
        <v>1822.2</v>
      </c>
      <c r="C214" s="12">
        <v>23092.2</v>
      </c>
      <c r="D214" s="12">
        <f t="shared" si="3"/>
        <v>-1.1391292297832136E-2</v>
      </c>
    </row>
    <row r="215" spans="1:4" x14ac:dyDescent="0.3">
      <c r="A215" s="53">
        <v>45684</v>
      </c>
      <c r="B215" s="49">
        <v>1786.85</v>
      </c>
      <c r="C215" s="12">
        <v>22829.15</v>
      </c>
      <c r="D215" s="12">
        <f t="shared" si="3"/>
        <v>5.6112470240897508E-3</v>
      </c>
    </row>
    <row r="216" spans="1:4" x14ac:dyDescent="0.3">
      <c r="A216" s="53">
        <v>45685</v>
      </c>
      <c r="B216" s="49">
        <v>1705.5</v>
      </c>
      <c r="C216" s="12">
        <v>22957.25</v>
      </c>
      <c r="D216" s="12">
        <f t="shared" si="3"/>
        <v>8.9666663036730675E-3</v>
      </c>
    </row>
    <row r="217" spans="1:4" x14ac:dyDescent="0.3">
      <c r="A217" s="53">
        <v>45686</v>
      </c>
      <c r="B217" s="49">
        <v>1735.35</v>
      </c>
      <c r="C217" s="12">
        <v>23163.1</v>
      </c>
      <c r="D217" s="12">
        <f t="shared" si="3"/>
        <v>3.7300706727511198E-3</v>
      </c>
    </row>
    <row r="218" spans="1:4" x14ac:dyDescent="0.3">
      <c r="A218" s="53">
        <v>45687</v>
      </c>
      <c r="B218" s="49">
        <v>1739.1</v>
      </c>
      <c r="C218" s="12">
        <v>23249.5</v>
      </c>
      <c r="D218" s="12">
        <f t="shared" si="3"/>
        <v>1.1135723348889286E-2</v>
      </c>
    </row>
    <row r="219" spans="1:4" x14ac:dyDescent="0.3">
      <c r="A219" s="53">
        <v>45688</v>
      </c>
      <c r="B219" s="49">
        <v>1743.95</v>
      </c>
      <c r="C219" s="12">
        <v>23508.400000000001</v>
      </c>
      <c r="D219" s="12">
        <f t="shared" si="3"/>
        <v>-1.1166221435742116E-3</v>
      </c>
    </row>
    <row r="220" spans="1:4" x14ac:dyDescent="0.3">
      <c r="A220" s="53">
        <v>45689</v>
      </c>
      <c r="B220" s="49">
        <v>1742.2</v>
      </c>
      <c r="C220" s="12">
        <v>23482.15</v>
      </c>
      <c r="D220" s="12">
        <f t="shared" si="3"/>
        <v>-5.1571086974575228E-3</v>
      </c>
    </row>
    <row r="221" spans="1:4" x14ac:dyDescent="0.3">
      <c r="A221" s="53">
        <v>45691</v>
      </c>
      <c r="B221" s="49">
        <v>1740.6</v>
      </c>
      <c r="C221" s="12">
        <v>23361.05</v>
      </c>
      <c r="D221" s="12">
        <f t="shared" si="3"/>
        <v>1.6189340804458736E-2</v>
      </c>
    </row>
    <row r="222" spans="1:4" x14ac:dyDescent="0.3">
      <c r="A222" s="53">
        <v>45692</v>
      </c>
      <c r="B222" s="49">
        <v>1765.25</v>
      </c>
      <c r="C222" s="12">
        <v>23739.25</v>
      </c>
      <c r="D222" s="12">
        <f t="shared" si="3"/>
        <v>-1.8092399717767296E-3</v>
      </c>
    </row>
    <row r="223" spans="1:4" x14ac:dyDescent="0.3">
      <c r="A223" s="53">
        <v>45693</v>
      </c>
      <c r="B223" s="49">
        <v>1752.75</v>
      </c>
      <c r="C223" s="12">
        <v>23696.3</v>
      </c>
      <c r="D223" s="12">
        <f t="shared" si="3"/>
        <v>-3.9225533100104544E-3</v>
      </c>
    </row>
    <row r="224" spans="1:4" x14ac:dyDescent="0.3">
      <c r="A224" s="53">
        <v>45694</v>
      </c>
      <c r="B224" s="49">
        <v>1742</v>
      </c>
      <c r="C224" s="12">
        <v>23603.35</v>
      </c>
      <c r="D224" s="12">
        <f t="shared" si="3"/>
        <v>-1.8387220458112013E-3</v>
      </c>
    </row>
    <row r="225" spans="1:4" x14ac:dyDescent="0.3">
      <c r="A225" s="53">
        <v>45695</v>
      </c>
      <c r="B225" s="49">
        <v>1749.8</v>
      </c>
      <c r="C225" s="12">
        <v>23559.95</v>
      </c>
      <c r="D225" s="12">
        <f t="shared" si="3"/>
        <v>-7.5700500213286602E-3</v>
      </c>
    </row>
    <row r="226" spans="1:4" x14ac:dyDescent="0.3">
      <c r="A226" s="53">
        <v>45698</v>
      </c>
      <c r="B226" s="49">
        <v>1732.1</v>
      </c>
      <c r="C226" s="12">
        <v>23381.599999999999</v>
      </c>
      <c r="D226" s="12">
        <f t="shared" si="3"/>
        <v>-1.3249734834228593E-2</v>
      </c>
    </row>
    <row r="227" spans="1:4" x14ac:dyDescent="0.3">
      <c r="A227" s="53">
        <v>45699</v>
      </c>
      <c r="B227" s="49">
        <v>1699.75</v>
      </c>
      <c r="C227" s="12">
        <v>23071.8</v>
      </c>
      <c r="D227" s="12">
        <f t="shared" si="3"/>
        <v>-1.1507554677138009E-3</v>
      </c>
    </row>
    <row r="228" spans="1:4" x14ac:dyDescent="0.3">
      <c r="A228" s="53">
        <v>45700</v>
      </c>
      <c r="B228" s="49">
        <v>1693.85</v>
      </c>
      <c r="C228" s="12">
        <v>23045.25</v>
      </c>
      <c r="D228" s="12">
        <f t="shared" si="3"/>
        <v>-6.0099152753814971E-4</v>
      </c>
    </row>
    <row r="229" spans="1:4" x14ac:dyDescent="0.3">
      <c r="A229" s="53">
        <v>45701</v>
      </c>
      <c r="B229" s="49">
        <v>1746.35</v>
      </c>
      <c r="C229" s="12">
        <v>23031.4</v>
      </c>
      <c r="D229" s="12">
        <f t="shared" si="3"/>
        <v>-4.4352492683901734E-3</v>
      </c>
    </row>
    <row r="230" spans="1:4" x14ac:dyDescent="0.3">
      <c r="A230" s="53">
        <v>45702</v>
      </c>
      <c r="B230" s="49">
        <v>1700.5</v>
      </c>
      <c r="C230" s="12">
        <v>22929.25</v>
      </c>
      <c r="D230" s="12">
        <f t="shared" si="3"/>
        <v>1.3192755977626831E-3</v>
      </c>
    </row>
    <row r="231" spans="1:4" x14ac:dyDescent="0.3">
      <c r="A231" s="53">
        <v>45705</v>
      </c>
      <c r="B231" s="49">
        <v>1714.2</v>
      </c>
      <c r="C231" s="12">
        <v>22959.5</v>
      </c>
      <c r="D231" s="12">
        <f t="shared" si="3"/>
        <v>-6.184803676038558E-4</v>
      </c>
    </row>
    <row r="232" spans="1:4" x14ac:dyDescent="0.3">
      <c r="A232" s="53">
        <v>45706</v>
      </c>
      <c r="B232" s="49">
        <v>1701.6</v>
      </c>
      <c r="C232" s="12">
        <v>22945.3</v>
      </c>
      <c r="D232" s="12">
        <f t="shared" si="3"/>
        <v>-5.4041568425768321E-4</v>
      </c>
    </row>
    <row r="233" spans="1:4" x14ac:dyDescent="0.3">
      <c r="A233" s="53">
        <v>45707</v>
      </c>
      <c r="B233" s="49">
        <v>1676.6</v>
      </c>
      <c r="C233" s="12">
        <v>22932.9</v>
      </c>
      <c r="D233" s="12">
        <f t="shared" si="3"/>
        <v>-8.6120813329321623E-4</v>
      </c>
    </row>
    <row r="234" spans="1:4" x14ac:dyDescent="0.3">
      <c r="A234" s="53">
        <v>45708</v>
      </c>
      <c r="B234" s="49">
        <v>1669.3</v>
      </c>
      <c r="C234" s="12">
        <v>22913.15</v>
      </c>
      <c r="D234" s="12">
        <f t="shared" si="3"/>
        <v>-5.1171488861199788E-3</v>
      </c>
    </row>
    <row r="235" spans="1:4" x14ac:dyDescent="0.3">
      <c r="A235" s="53">
        <v>45709</v>
      </c>
      <c r="B235" s="49">
        <v>1643.75</v>
      </c>
      <c r="C235" s="12">
        <v>22795.9</v>
      </c>
      <c r="D235" s="12">
        <f t="shared" si="3"/>
        <v>-1.0640071240881163E-2</v>
      </c>
    </row>
    <row r="236" spans="1:4" x14ac:dyDescent="0.3">
      <c r="A236" s="53">
        <v>45712</v>
      </c>
      <c r="B236" s="49">
        <v>1639.5</v>
      </c>
      <c r="C236" s="12">
        <v>22553.35</v>
      </c>
      <c r="D236" s="12">
        <f t="shared" si="3"/>
        <v>-2.571680038663557E-4</v>
      </c>
    </row>
    <row r="237" spans="1:4" x14ac:dyDescent="0.3">
      <c r="A237" s="53">
        <v>45713</v>
      </c>
      <c r="B237" s="49">
        <v>1613.6</v>
      </c>
      <c r="C237" s="12">
        <v>22547.55</v>
      </c>
      <c r="D237" s="12">
        <f t="shared" si="3"/>
        <v>-1.1087679149175853E-4</v>
      </c>
    </row>
    <row r="238" spans="1:4" x14ac:dyDescent="0.3">
      <c r="A238" s="53">
        <v>45715</v>
      </c>
      <c r="B238" s="49">
        <v>1647.5</v>
      </c>
      <c r="C238" s="12">
        <v>22545.05</v>
      </c>
      <c r="D238" s="12">
        <f t="shared" si="3"/>
        <v>-1.8644891007116797E-2</v>
      </c>
    </row>
    <row r="239" spans="1:4" x14ac:dyDescent="0.3">
      <c r="A239" s="53">
        <v>45716</v>
      </c>
      <c r="B239" s="49">
        <v>1593.25</v>
      </c>
      <c r="C239" s="12">
        <v>22124.7</v>
      </c>
      <c r="D239" s="12">
        <f t="shared" si="3"/>
        <v>-2.4407110604896133E-4</v>
      </c>
    </row>
    <row r="240" spans="1:4" x14ac:dyDescent="0.3">
      <c r="A240" s="53">
        <v>45719</v>
      </c>
      <c r="B240" s="49">
        <v>1585.1</v>
      </c>
      <c r="C240" s="12">
        <v>22119.3</v>
      </c>
      <c r="D240" s="12">
        <f t="shared" si="3"/>
        <v>-1.656924043708337E-3</v>
      </c>
    </row>
    <row r="241" spans="1:4" x14ac:dyDescent="0.3">
      <c r="A241" s="53">
        <v>45720</v>
      </c>
      <c r="B241" s="49">
        <v>1566.5</v>
      </c>
      <c r="C241" s="12">
        <v>22082.65</v>
      </c>
      <c r="D241" s="12">
        <f t="shared" si="3"/>
        <v>1.1531677583985519E-2</v>
      </c>
    </row>
    <row r="242" spans="1:4" x14ac:dyDescent="0.3">
      <c r="A242" s="53">
        <v>45721</v>
      </c>
      <c r="B242" s="49">
        <v>1582.45</v>
      </c>
      <c r="C242" s="12">
        <v>22337.3</v>
      </c>
      <c r="D242" s="12">
        <f t="shared" si="3"/>
        <v>9.2849180518684658E-3</v>
      </c>
    </row>
    <row r="243" spans="1:4" x14ac:dyDescent="0.3">
      <c r="A243" s="53">
        <v>45722</v>
      </c>
      <c r="B243" s="49">
        <v>1614</v>
      </c>
      <c r="C243" s="12">
        <v>22544.7</v>
      </c>
      <c r="D243" s="12">
        <f t="shared" si="3"/>
        <v>3.4597932108208459E-4</v>
      </c>
    </row>
    <row r="244" spans="1:4" x14ac:dyDescent="0.3">
      <c r="A244" s="53">
        <v>45723</v>
      </c>
      <c r="B244" s="49">
        <v>1609.3</v>
      </c>
      <c r="C244" s="12">
        <v>22552.5</v>
      </c>
      <c r="D244" s="12">
        <f t="shared" si="3"/>
        <v>-4.0882385544840144E-3</v>
      </c>
    </row>
    <row r="245" spans="1:4" x14ac:dyDescent="0.3">
      <c r="A245" s="53">
        <v>45726</v>
      </c>
      <c r="B245" s="49">
        <v>1611.5</v>
      </c>
      <c r="C245" s="12">
        <v>22460.3</v>
      </c>
      <c r="D245" s="12">
        <f t="shared" si="3"/>
        <v>1.6740649056335927E-3</v>
      </c>
    </row>
    <row r="246" spans="1:4" x14ac:dyDescent="0.3">
      <c r="A246" s="53">
        <v>45727</v>
      </c>
      <c r="B246" s="49">
        <v>1655.3</v>
      </c>
      <c r="C246" s="12">
        <v>22497.9</v>
      </c>
      <c r="D246" s="12">
        <f t="shared" si="3"/>
        <v>-1.2178914476462894E-3</v>
      </c>
    </row>
    <row r="247" spans="1:4" x14ac:dyDescent="0.3">
      <c r="A247" s="53">
        <v>45728</v>
      </c>
      <c r="B247" s="49">
        <v>1676.85</v>
      </c>
      <c r="C247" s="12">
        <v>22470.5</v>
      </c>
      <c r="D247" s="12">
        <f t="shared" si="3"/>
        <v>-3.262054693932012E-3</v>
      </c>
    </row>
    <row r="248" spans="1:4" x14ac:dyDescent="0.3">
      <c r="A248" s="53">
        <v>45729</v>
      </c>
      <c r="B248" s="49">
        <v>1683.45</v>
      </c>
      <c r="C248" s="12">
        <v>22397.200000000001</v>
      </c>
      <c r="D248" s="12">
        <f t="shared" si="3"/>
        <v>-1</v>
      </c>
    </row>
  </sheetData>
  <sortState xmlns:xlrd2="http://schemas.microsoft.com/office/spreadsheetml/2017/richdata2" ref="A2:B248">
    <sortCondition ref="A2:A2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48F0-00BE-4A6D-AAD7-E76153B1878E}">
  <dimension ref="A1:L32"/>
  <sheetViews>
    <sheetView topLeftCell="A13" workbookViewId="0">
      <selection activeCell="B8" sqref="B8"/>
    </sheetView>
  </sheetViews>
  <sheetFormatPr defaultRowHeight="13.8" x14ac:dyDescent="0.3"/>
  <cols>
    <col min="1" max="1" width="45.6640625" style="12" bestFit="1" customWidth="1"/>
    <col min="2" max="2" width="12" style="12" bestFit="1" customWidth="1"/>
    <col min="3" max="3" width="17.88671875" style="9" customWidth="1"/>
    <col min="4" max="9" width="6.88671875" style="12" bestFit="1" customWidth="1"/>
    <col min="10" max="11" width="7.33203125" style="12" bestFit="1" customWidth="1"/>
    <col min="12" max="16384" width="8.88671875" style="12"/>
  </cols>
  <sheetData>
    <row r="1" spans="1:4" x14ac:dyDescent="0.3">
      <c r="C1" s="8" t="s">
        <v>46</v>
      </c>
    </row>
    <row r="2" spans="1:4" x14ac:dyDescent="0.3">
      <c r="A2" s="24" t="s">
        <v>34</v>
      </c>
      <c r="B2" s="12" t="s">
        <v>55</v>
      </c>
    </row>
    <row r="3" spans="1:4" ht="27.6" x14ac:dyDescent="0.3">
      <c r="A3" s="24" t="s">
        <v>35</v>
      </c>
      <c r="B3" s="36">
        <f>('Base year &amp; 10 Year data'!K5/'Base year &amp; 10 Year data'!B5)^1/10</f>
        <v>0.17704804322429907</v>
      </c>
      <c r="C3" s="9" t="s">
        <v>54</v>
      </c>
    </row>
    <row r="4" spans="1:4" ht="27.6" x14ac:dyDescent="0.3">
      <c r="A4" s="24" t="s">
        <v>36</v>
      </c>
      <c r="B4" s="36">
        <f>AVERAGE(B32:K32)</f>
        <v>5.3826842669353302E-2</v>
      </c>
      <c r="C4" s="9" t="s">
        <v>53</v>
      </c>
    </row>
    <row r="5" spans="1:4" x14ac:dyDescent="0.3">
      <c r="A5" s="24" t="s">
        <v>37</v>
      </c>
      <c r="B5" s="12">
        <v>0.04</v>
      </c>
      <c r="C5" s="9" t="s">
        <v>50</v>
      </c>
    </row>
    <row r="6" spans="1:4" x14ac:dyDescent="0.3">
      <c r="A6" s="24" t="s">
        <v>38</v>
      </c>
      <c r="B6" s="25">
        <v>7.0000000000000007E-2</v>
      </c>
      <c r="C6" s="9" t="s">
        <v>51</v>
      </c>
    </row>
    <row r="7" spans="1:4" x14ac:dyDescent="0.3">
      <c r="A7" s="24" t="s">
        <v>3</v>
      </c>
      <c r="B7" s="36">
        <v>8.1000000000000003E-2</v>
      </c>
      <c r="C7" s="9" t="s">
        <v>51</v>
      </c>
    </row>
    <row r="8" spans="1:4" ht="41.4" x14ac:dyDescent="0.3">
      <c r="A8" s="24" t="s">
        <v>4</v>
      </c>
      <c r="B8" s="28">
        <v>0.8</v>
      </c>
      <c r="C8" s="9" t="s">
        <v>69</v>
      </c>
    </row>
    <row r="9" spans="1:4" ht="27.6" x14ac:dyDescent="0.3">
      <c r="A9" s="24" t="s">
        <v>23</v>
      </c>
      <c r="B9" s="27">
        <f>AVERAGE('Base year &amp; 10 Year data'!B10:K10)</f>
        <v>0.16300000000000003</v>
      </c>
      <c r="C9" s="9" t="s">
        <v>52</v>
      </c>
    </row>
    <row r="10" spans="1:4" x14ac:dyDescent="0.3">
      <c r="B10" s="36"/>
    </row>
    <row r="11" spans="1:4" x14ac:dyDescent="0.3">
      <c r="A11" s="15" t="s">
        <v>39</v>
      </c>
      <c r="B11" s="12" t="s">
        <v>17</v>
      </c>
    </row>
    <row r="13" spans="1:4" x14ac:dyDescent="0.3">
      <c r="A13" s="29"/>
      <c r="B13" s="30">
        <v>45717</v>
      </c>
      <c r="C13" s="45">
        <v>46082</v>
      </c>
      <c r="D13" s="31"/>
    </row>
    <row r="14" spans="1:4" x14ac:dyDescent="0.3">
      <c r="A14" s="46" t="s">
        <v>18</v>
      </c>
      <c r="B14" s="29">
        <f>('Base year &amp; 10 Year data'!K5*1.177)</f>
        <v>57080.969000000005</v>
      </c>
      <c r="C14" s="40">
        <f>(B14*1.177)</f>
        <v>67184.300513000009</v>
      </c>
    </row>
    <row r="15" spans="1:4" x14ac:dyDescent="0.3">
      <c r="A15" s="46" t="s">
        <v>0</v>
      </c>
      <c r="B15" s="29">
        <f>('Base year &amp; 10 Year data'!K6*1.177)</f>
        <v>15322.186</v>
      </c>
      <c r="C15" s="40">
        <f>(B15*1.177)</f>
        <v>18034.212921999999</v>
      </c>
    </row>
    <row r="16" spans="1:4" x14ac:dyDescent="0.3">
      <c r="A16" s="46" t="s">
        <v>40</v>
      </c>
      <c r="B16" s="29">
        <f>B15*(1-0.16)</f>
        <v>12870.63624</v>
      </c>
      <c r="C16" s="40">
        <f>C15*(1-0.16)</f>
        <v>15148.738854479998</v>
      </c>
    </row>
    <row r="17" spans="1:12" x14ac:dyDescent="0.3">
      <c r="A17" s="46" t="s">
        <v>41</v>
      </c>
      <c r="B17" s="29">
        <f>('Base year &amp; 10 Year data'!K7*1.177)</f>
        <v>-2591.7539999999999</v>
      </c>
      <c r="C17" s="40">
        <f>B17*1.177</f>
        <v>-3050.4944580000001</v>
      </c>
    </row>
    <row r="18" spans="1:12" x14ac:dyDescent="0.3">
      <c r="A18" s="46" t="s">
        <v>21</v>
      </c>
      <c r="B18" s="29">
        <f>('Base year &amp; 10 Year data'!K8*1.177)</f>
        <v>3009.5889999999999</v>
      </c>
      <c r="C18" s="40">
        <f>B18*1.177</f>
        <v>3542.2862530000002</v>
      </c>
    </row>
    <row r="19" spans="1:12" x14ac:dyDescent="0.3">
      <c r="A19" s="46" t="s">
        <v>42</v>
      </c>
      <c r="B19" s="33">
        <v>0.5</v>
      </c>
      <c r="C19" s="39">
        <v>0.47</v>
      </c>
      <c r="D19" s="27"/>
    </row>
    <row r="20" spans="1:12" x14ac:dyDescent="0.3">
      <c r="A20" s="46" t="s">
        <v>43</v>
      </c>
      <c r="B20" s="29">
        <f>B14*0.5</f>
        <v>28540.484500000002</v>
      </c>
      <c r="C20" s="40">
        <f>C14*0.47</f>
        <v>31576.621241110002</v>
      </c>
    </row>
    <row r="21" spans="1:12" x14ac:dyDescent="0.3">
      <c r="A21" s="46" t="s">
        <v>44</v>
      </c>
      <c r="B21" s="29">
        <f>B17-B18</f>
        <v>-5601.3429999999998</v>
      </c>
      <c r="C21" s="40">
        <f>C17-C18</f>
        <v>-6592.7807110000003</v>
      </c>
      <c r="G21" s="36"/>
    </row>
    <row r="22" spans="1:12" x14ac:dyDescent="0.3">
      <c r="A22" s="46" t="s">
        <v>1</v>
      </c>
      <c r="B22" s="41">
        <f>('High Growth Phase'!B20-'Base year &amp; 10 Year data'!K9)</f>
        <v>3110.4845000000023</v>
      </c>
      <c r="C22" s="40">
        <f>C20-B20</f>
        <v>3036.13674111</v>
      </c>
    </row>
    <row r="23" spans="1:12" x14ac:dyDescent="0.3">
      <c r="A23" s="47"/>
      <c r="B23" s="29"/>
      <c r="C23" s="40"/>
    </row>
    <row r="24" spans="1:12" x14ac:dyDescent="0.3">
      <c r="A24" s="46" t="s">
        <v>45</v>
      </c>
      <c r="B24" s="43">
        <f>B16-B21-B22</f>
        <v>15361.494739999998</v>
      </c>
      <c r="C24" s="44">
        <f>C16-C21-C22</f>
        <v>18705.382824369997</v>
      </c>
      <c r="D24" s="48"/>
    </row>
    <row r="25" spans="1:12" x14ac:dyDescent="0.3">
      <c r="B25" s="49"/>
      <c r="C25" s="10"/>
      <c r="D25" s="49"/>
    </row>
    <row r="27" spans="1:12" x14ac:dyDescent="0.3">
      <c r="A27" s="15" t="s">
        <v>49</v>
      </c>
    </row>
    <row r="29" spans="1:12" x14ac:dyDescent="0.3">
      <c r="A29" s="50"/>
      <c r="B29" s="30">
        <v>42339</v>
      </c>
      <c r="C29" s="45">
        <v>42705</v>
      </c>
      <c r="D29" s="30">
        <v>43070</v>
      </c>
      <c r="E29" s="30">
        <v>43435</v>
      </c>
      <c r="F29" s="30">
        <v>43800</v>
      </c>
      <c r="G29" s="30">
        <v>44166</v>
      </c>
      <c r="H29" s="30">
        <v>44531</v>
      </c>
      <c r="I29" s="30">
        <v>44896</v>
      </c>
      <c r="J29" s="30">
        <v>44986</v>
      </c>
      <c r="K29" s="30">
        <v>45352</v>
      </c>
    </row>
    <row r="30" spans="1:12" x14ac:dyDescent="0.3">
      <c r="A30" s="50" t="s">
        <v>47</v>
      </c>
      <c r="B30" s="6">
        <v>579</v>
      </c>
      <c r="C30" s="6">
        <v>523</v>
      </c>
      <c r="D30" s="6">
        <v>400</v>
      </c>
      <c r="E30" s="6">
        <v>518</v>
      </c>
      <c r="F30" s="6">
        <v>555</v>
      </c>
      <c r="G30" s="6">
        <v>303</v>
      </c>
      <c r="H30" s="6">
        <v>141</v>
      </c>
      <c r="I30" s="6">
        <v>127</v>
      </c>
      <c r="J30" s="6">
        <v>172</v>
      </c>
      <c r="K30" s="6">
        <v>238</v>
      </c>
      <c r="L30" s="7"/>
    </row>
    <row r="31" spans="1:12" x14ac:dyDescent="0.3">
      <c r="A31" s="50" t="s">
        <v>48</v>
      </c>
      <c r="B31" s="4">
        <v>8996</v>
      </c>
      <c r="C31" s="4">
        <v>8497</v>
      </c>
      <c r="D31" s="4">
        <v>9832</v>
      </c>
      <c r="E31" s="4">
        <v>10385</v>
      </c>
      <c r="F31" s="4">
        <v>10514</v>
      </c>
      <c r="G31" s="4">
        <v>8315</v>
      </c>
      <c r="H31" s="4">
        <v>3869</v>
      </c>
      <c r="I31" s="4">
        <v>1290</v>
      </c>
      <c r="J31" s="4">
        <v>6886</v>
      </c>
      <c r="K31" s="4">
        <v>3274</v>
      </c>
      <c r="L31" s="7"/>
    </row>
    <row r="32" spans="1:12" x14ac:dyDescent="0.3">
      <c r="A32" s="50" t="s">
        <v>2</v>
      </c>
      <c r="B32" s="51">
        <f>B30/B31</f>
        <v>6.436193863939528E-2</v>
      </c>
      <c r="C32" s="52">
        <f t="shared" ref="C32:K32" si="0">C30/C31</f>
        <v>6.1551135694951159E-2</v>
      </c>
      <c r="D32" s="51">
        <f t="shared" si="0"/>
        <v>4.0683482506102521E-2</v>
      </c>
      <c r="E32" s="51">
        <f t="shared" si="0"/>
        <v>4.9879634087626384E-2</v>
      </c>
      <c r="F32" s="51">
        <f t="shared" si="0"/>
        <v>5.2786760509796464E-2</v>
      </c>
      <c r="G32" s="51">
        <f t="shared" si="0"/>
        <v>3.6440168370414916E-2</v>
      </c>
      <c r="H32" s="51">
        <f t="shared" si="0"/>
        <v>3.6443525458774877E-2</v>
      </c>
      <c r="I32" s="51">
        <f t="shared" si="0"/>
        <v>9.8449612403100781E-2</v>
      </c>
      <c r="J32" s="51">
        <f t="shared" si="0"/>
        <v>2.4978216671507406E-2</v>
      </c>
      <c r="K32" s="51">
        <f t="shared" si="0"/>
        <v>7.269395235186317E-2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DA75-9820-43A1-AC44-A17A89862A51}">
  <dimension ref="A1:C26"/>
  <sheetViews>
    <sheetView workbookViewId="0">
      <selection activeCell="B10" sqref="B10"/>
    </sheetView>
  </sheetViews>
  <sheetFormatPr defaultRowHeight="13.8" x14ac:dyDescent="0.3"/>
  <cols>
    <col min="1" max="1" width="45.6640625" style="12" bestFit="1" customWidth="1"/>
    <col min="2" max="3" width="12.6640625" style="12" bestFit="1" customWidth="1"/>
    <col min="4" max="16384" width="8.88671875" style="12"/>
  </cols>
  <sheetData>
    <row r="1" spans="1:3" x14ac:dyDescent="0.3">
      <c r="C1" s="8" t="s">
        <v>46</v>
      </c>
    </row>
    <row r="2" spans="1:3" x14ac:dyDescent="0.3">
      <c r="A2" s="24" t="s">
        <v>63</v>
      </c>
      <c r="B2" s="12" t="s">
        <v>55</v>
      </c>
      <c r="C2" s="9"/>
    </row>
    <row r="3" spans="1:3" ht="27.6" x14ac:dyDescent="0.3">
      <c r="A3" s="24" t="s">
        <v>35</v>
      </c>
      <c r="B3" s="36">
        <v>0.12</v>
      </c>
      <c r="C3" s="9" t="s">
        <v>70</v>
      </c>
    </row>
    <row r="4" spans="1:3" ht="41.4" x14ac:dyDescent="0.3">
      <c r="A4" s="24" t="s">
        <v>36</v>
      </c>
      <c r="B4" s="36">
        <v>7.0000000000000007E-2</v>
      </c>
      <c r="C4" s="9" t="s">
        <v>64</v>
      </c>
    </row>
    <row r="5" spans="1:3" ht="27.6" x14ac:dyDescent="0.3">
      <c r="A5" s="24" t="s">
        <v>37</v>
      </c>
      <c r="B5" s="12">
        <v>0.1</v>
      </c>
      <c r="C5" s="9" t="s">
        <v>67</v>
      </c>
    </row>
    <row r="6" spans="1:3" ht="55.2" x14ac:dyDescent="0.3">
      <c r="A6" s="24" t="s">
        <v>38</v>
      </c>
      <c r="B6" s="25">
        <v>7.0000000000000007E-2</v>
      </c>
      <c r="C6" s="9" t="s">
        <v>65</v>
      </c>
    </row>
    <row r="7" spans="1:3" x14ac:dyDescent="0.3">
      <c r="A7" s="24" t="s">
        <v>3</v>
      </c>
      <c r="B7" s="25">
        <v>7.0000000000000007E-2</v>
      </c>
      <c r="C7" s="9" t="s">
        <v>66</v>
      </c>
    </row>
    <row r="8" spans="1:3" x14ac:dyDescent="0.3">
      <c r="A8" s="24" t="s">
        <v>4</v>
      </c>
      <c r="B8" s="28">
        <v>0.65</v>
      </c>
      <c r="C8" s="9" t="s">
        <v>68</v>
      </c>
    </row>
    <row r="9" spans="1:3" x14ac:dyDescent="0.3">
      <c r="A9" s="24" t="s">
        <v>23</v>
      </c>
      <c r="B9" s="27">
        <v>0.25</v>
      </c>
      <c r="C9" s="9" t="s">
        <v>62</v>
      </c>
    </row>
    <row r="11" spans="1:3" x14ac:dyDescent="0.3">
      <c r="A11" s="15" t="s">
        <v>84</v>
      </c>
      <c r="C11" s="12" t="s">
        <v>17</v>
      </c>
    </row>
    <row r="13" spans="1:3" x14ac:dyDescent="0.3">
      <c r="A13" s="29"/>
      <c r="B13" s="30">
        <v>46447</v>
      </c>
      <c r="C13" s="30">
        <v>46813</v>
      </c>
    </row>
    <row r="14" spans="1:3" x14ac:dyDescent="0.3">
      <c r="A14" s="37" t="s">
        <v>18</v>
      </c>
      <c r="B14" s="38">
        <f>'High Growth Phase'!C14*1.12</f>
        <v>75246.416574560018</v>
      </c>
      <c r="C14" s="29">
        <f>B14*1.1</f>
        <v>82771.058232016032</v>
      </c>
    </row>
    <row r="15" spans="1:3" x14ac:dyDescent="0.3">
      <c r="A15" s="37" t="s">
        <v>0</v>
      </c>
      <c r="B15" s="29">
        <f>'High Growth Phase'!C15*1.12</f>
        <v>20198.31847264</v>
      </c>
      <c r="C15" s="29">
        <f>B15*1.1</f>
        <v>22218.150319904002</v>
      </c>
    </row>
    <row r="16" spans="1:3" x14ac:dyDescent="0.3">
      <c r="A16" s="37" t="s">
        <v>40</v>
      </c>
      <c r="B16" s="29">
        <f>B15*(1-0.25)</f>
        <v>15148.73885448</v>
      </c>
      <c r="C16" s="29">
        <f>C15*(1-0.25)</f>
        <v>16663.612739928001</v>
      </c>
    </row>
    <row r="17" spans="1:3" x14ac:dyDescent="0.3">
      <c r="A17" s="37" t="s">
        <v>41</v>
      </c>
      <c r="B17" s="29">
        <f>'High Growth Phase'!C17*1.12</f>
        <v>-3416.5537929600005</v>
      </c>
      <c r="C17" s="29">
        <f>B17*1.1</f>
        <v>-3758.2091722560008</v>
      </c>
    </row>
    <row r="18" spans="1:3" x14ac:dyDescent="0.3">
      <c r="A18" s="37" t="s">
        <v>21</v>
      </c>
      <c r="B18" s="29">
        <f>'High Growth Phase'!C18*1.12</f>
        <v>3967.3606033600008</v>
      </c>
      <c r="C18" s="29">
        <f>B18*1.11</f>
        <v>4403.7702697296018</v>
      </c>
    </row>
    <row r="19" spans="1:3" x14ac:dyDescent="0.3">
      <c r="A19" s="37" t="s">
        <v>42</v>
      </c>
      <c r="B19" s="33">
        <v>0.45</v>
      </c>
      <c r="C19" s="39">
        <v>0.42</v>
      </c>
    </row>
    <row r="20" spans="1:3" x14ac:dyDescent="0.3">
      <c r="A20" s="37" t="s">
        <v>43</v>
      </c>
      <c r="B20" s="29">
        <f>B14*0.45</f>
        <v>33860.88745855201</v>
      </c>
      <c r="C20" s="40">
        <f>C14*0.42</f>
        <v>34763.844457446736</v>
      </c>
    </row>
    <row r="21" spans="1:3" x14ac:dyDescent="0.3">
      <c r="A21" s="37" t="s">
        <v>44</v>
      </c>
      <c r="B21" s="29">
        <f>B17-B18</f>
        <v>-7383.9143963200013</v>
      </c>
      <c r="C21" s="40">
        <f>C17-C18</f>
        <v>-8161.9794419856025</v>
      </c>
    </row>
    <row r="22" spans="1:3" x14ac:dyDescent="0.3">
      <c r="A22" s="37" t="s">
        <v>1</v>
      </c>
      <c r="B22" s="41">
        <f>B20-'High Growth Phase'!C20</f>
        <v>2284.2662174420075</v>
      </c>
      <c r="C22" s="40">
        <f>C20-B20</f>
        <v>902.95699889472598</v>
      </c>
    </row>
    <row r="23" spans="1:3" x14ac:dyDescent="0.3">
      <c r="A23" s="42"/>
      <c r="B23" s="29"/>
      <c r="C23" s="40"/>
    </row>
    <row r="24" spans="1:3" x14ac:dyDescent="0.3">
      <c r="A24" s="37" t="s">
        <v>45</v>
      </c>
      <c r="B24" s="43">
        <f>B16-B21-B22</f>
        <v>20248.387033357994</v>
      </c>
      <c r="C24" s="44">
        <f>C16-C21-C22</f>
        <v>23922.63518301888</v>
      </c>
    </row>
    <row r="26" spans="1:3" x14ac:dyDescent="0.3">
      <c r="A26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69B3-5583-4C63-95DF-1B96A7A5D8B6}">
  <dimension ref="A1:F35"/>
  <sheetViews>
    <sheetView workbookViewId="0">
      <selection activeCell="B24" sqref="B24"/>
    </sheetView>
  </sheetViews>
  <sheetFormatPr defaultRowHeight="13.8" x14ac:dyDescent="0.3"/>
  <cols>
    <col min="1" max="1" width="45.6640625" style="12" bestFit="1" customWidth="1"/>
    <col min="2" max="2" width="12.6640625" style="12" bestFit="1" customWidth="1"/>
    <col min="3" max="3" width="29.5546875" style="12" bestFit="1" customWidth="1"/>
    <col min="4" max="16384" width="8.88671875" style="12"/>
  </cols>
  <sheetData>
    <row r="1" spans="1:6" x14ac:dyDescent="0.3">
      <c r="A1" s="24"/>
      <c r="C1" s="11" t="s">
        <v>46</v>
      </c>
    </row>
    <row r="2" spans="1:6" x14ac:dyDescent="0.3">
      <c r="A2" s="24" t="s">
        <v>35</v>
      </c>
      <c r="B2" s="25">
        <v>6.5000000000000002E-2</v>
      </c>
      <c r="C2" s="12" t="s">
        <v>71</v>
      </c>
    </row>
    <row r="3" spans="1:6" x14ac:dyDescent="0.3">
      <c r="A3" s="24" t="s">
        <v>36</v>
      </c>
      <c r="B3" s="26">
        <v>6.4750000000000002E-2</v>
      </c>
      <c r="C3" s="12" t="s">
        <v>72</v>
      </c>
    </row>
    <row r="4" spans="1:6" x14ac:dyDescent="0.3">
      <c r="A4" s="24" t="s">
        <v>37</v>
      </c>
      <c r="B4" s="12">
        <v>0.06</v>
      </c>
      <c r="C4" s="12" t="s">
        <v>51</v>
      </c>
    </row>
    <row r="5" spans="1:6" x14ac:dyDescent="0.3">
      <c r="A5" s="24" t="s">
        <v>38</v>
      </c>
      <c r="B5" s="27">
        <v>0.08</v>
      </c>
      <c r="C5" s="12" t="s">
        <v>73</v>
      </c>
    </row>
    <row r="6" spans="1:6" x14ac:dyDescent="0.3">
      <c r="A6" s="24" t="s">
        <v>3</v>
      </c>
      <c r="B6" s="27">
        <v>7.0000000000000007E-2</v>
      </c>
      <c r="C6" s="12" t="s">
        <v>51</v>
      </c>
    </row>
    <row r="7" spans="1:6" x14ac:dyDescent="0.3">
      <c r="A7" s="24" t="s">
        <v>4</v>
      </c>
      <c r="B7" s="12">
        <v>0.7</v>
      </c>
      <c r="C7" s="12" t="s">
        <v>74</v>
      </c>
    </row>
    <row r="8" spans="1:6" x14ac:dyDescent="0.3">
      <c r="A8" s="24" t="s">
        <v>23</v>
      </c>
      <c r="B8" s="27">
        <v>0.25</v>
      </c>
      <c r="C8" s="12" t="s">
        <v>73</v>
      </c>
    </row>
    <row r="10" spans="1:6" x14ac:dyDescent="0.3">
      <c r="F10" s="25"/>
    </row>
    <row r="11" spans="1:6" x14ac:dyDescent="0.3">
      <c r="A11" s="15" t="s">
        <v>61</v>
      </c>
      <c r="B11" s="12" t="s">
        <v>17</v>
      </c>
      <c r="F11" s="25"/>
    </row>
    <row r="12" spans="1:6" x14ac:dyDescent="0.3">
      <c r="F12" s="28"/>
    </row>
    <row r="13" spans="1:6" x14ac:dyDescent="0.3">
      <c r="A13" s="29"/>
      <c r="B13" s="30">
        <v>47178</v>
      </c>
      <c r="C13" s="31"/>
      <c r="F13" s="27"/>
    </row>
    <row r="14" spans="1:6" x14ac:dyDescent="0.3">
      <c r="A14" s="32" t="s">
        <v>18</v>
      </c>
      <c r="B14" s="29">
        <f>'Transition Phase'!C14*1.065</f>
        <v>88151.17701709707</v>
      </c>
      <c r="F14" s="27"/>
    </row>
    <row r="15" spans="1:6" x14ac:dyDescent="0.3">
      <c r="A15" s="32" t="s">
        <v>0</v>
      </c>
      <c r="B15" s="29">
        <f>'Transition Phase'!C15*1.065</f>
        <v>23662.33009069776</v>
      </c>
    </row>
    <row r="16" spans="1:6" x14ac:dyDescent="0.3">
      <c r="A16" s="32" t="s">
        <v>40</v>
      </c>
      <c r="B16" s="29">
        <f>B15*(1-0.25)</f>
        <v>17746.747568023318</v>
      </c>
    </row>
    <row r="17" spans="1:3" x14ac:dyDescent="0.3">
      <c r="A17" s="32" t="s">
        <v>41</v>
      </c>
      <c r="B17" s="29">
        <f>'Transition Phase'!C17*1.065</f>
        <v>-4002.4927684526406</v>
      </c>
    </row>
    <row r="18" spans="1:3" x14ac:dyDescent="0.3">
      <c r="A18" s="32" t="s">
        <v>21</v>
      </c>
      <c r="B18" s="29">
        <f>'Transition Phase'!C18*1.065</f>
        <v>4690.0153372620252</v>
      </c>
    </row>
    <row r="19" spans="1:3" x14ac:dyDescent="0.3">
      <c r="A19" s="32" t="s">
        <v>42</v>
      </c>
      <c r="B19" s="33">
        <v>0.38</v>
      </c>
      <c r="C19" s="34"/>
    </row>
    <row r="20" spans="1:3" x14ac:dyDescent="0.3">
      <c r="A20" s="32" t="s">
        <v>43</v>
      </c>
      <c r="B20" s="29">
        <f>B14*0.38</f>
        <v>33497.447266496885</v>
      </c>
    </row>
    <row r="21" spans="1:3" x14ac:dyDescent="0.3">
      <c r="A21" s="32" t="s">
        <v>44</v>
      </c>
      <c r="B21" s="29">
        <f>B17-B18</f>
        <v>-8692.5081057146654</v>
      </c>
    </row>
    <row r="22" spans="1:3" x14ac:dyDescent="0.3">
      <c r="A22" s="32" t="s">
        <v>1</v>
      </c>
      <c r="B22" s="29">
        <f>B20-'Transition Phase'!C20</f>
        <v>-1266.3971909498505</v>
      </c>
    </row>
    <row r="23" spans="1:3" x14ac:dyDescent="0.3">
      <c r="A23" s="35"/>
      <c r="B23" s="29"/>
    </row>
    <row r="24" spans="1:3" x14ac:dyDescent="0.3">
      <c r="A24" s="32" t="s">
        <v>45</v>
      </c>
      <c r="B24" s="50">
        <f>B16-B21-B22</f>
        <v>27705.652864687836</v>
      </c>
      <c r="C24" s="11"/>
    </row>
    <row r="27" spans="1:3" x14ac:dyDescent="0.3">
      <c r="A27" s="15"/>
    </row>
    <row r="33" s="12" customFormat="1" x14ac:dyDescent="0.3"/>
    <row r="34" s="12" customFormat="1" x14ac:dyDescent="0.3"/>
    <row r="35" s="12" customForma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FC57-3AD3-4A8D-9812-033265084DCA}">
  <dimension ref="A2:H31"/>
  <sheetViews>
    <sheetView workbookViewId="0">
      <selection activeCell="A20" sqref="A20"/>
    </sheetView>
  </sheetViews>
  <sheetFormatPr defaultRowHeight="13.8" x14ac:dyDescent="0.3"/>
  <cols>
    <col min="1" max="1" width="76.6640625" style="14" bestFit="1" customWidth="1"/>
    <col min="2" max="2" width="11.5546875" style="14" bestFit="1" customWidth="1"/>
    <col min="3" max="3" width="6.21875" style="14" bestFit="1" customWidth="1"/>
    <col min="4" max="16384" width="8.88671875" style="14"/>
  </cols>
  <sheetData>
    <row r="2" spans="1:8" x14ac:dyDescent="0.3">
      <c r="A2" s="13" t="s">
        <v>75</v>
      </c>
    </row>
    <row r="4" spans="1:8" x14ac:dyDescent="0.3">
      <c r="A4" s="14" t="s">
        <v>81</v>
      </c>
    </row>
    <row r="5" spans="1:8" x14ac:dyDescent="0.3">
      <c r="A5" s="13" t="s">
        <v>76</v>
      </c>
      <c r="B5" s="18">
        <f>'High Growth Phase'!B6+'High Growth Phase'!B8*('High Growth Phase'!B7)</f>
        <v>0.13480000000000003</v>
      </c>
    </row>
    <row r="7" spans="1:8" x14ac:dyDescent="0.3">
      <c r="A7" s="13" t="s">
        <v>5</v>
      </c>
    </row>
    <row r="8" spans="1:8" x14ac:dyDescent="0.3">
      <c r="A8" s="14" t="s">
        <v>96</v>
      </c>
    </row>
    <row r="9" spans="1:8" x14ac:dyDescent="0.3">
      <c r="B9" s="19">
        <f>(24/25*B5)+(1/25*'High Growth Phase'!B4*(1-0.16))</f>
        <v>0.13121658191369029</v>
      </c>
    </row>
    <row r="10" spans="1:8" x14ac:dyDescent="0.3">
      <c r="A10" s="20"/>
      <c r="B10" s="20"/>
      <c r="C10" s="20"/>
      <c r="D10" s="20"/>
      <c r="E10" s="20"/>
      <c r="F10" s="20"/>
      <c r="G10" s="20"/>
      <c r="H10" s="20"/>
    </row>
    <row r="12" spans="1:8" x14ac:dyDescent="0.3">
      <c r="A12" s="13" t="s">
        <v>82</v>
      </c>
    </row>
    <row r="14" spans="1:8" x14ac:dyDescent="0.3">
      <c r="A14" s="13" t="s">
        <v>76</v>
      </c>
      <c r="B14" s="18">
        <f>'Transition Phase'!B6+'Transition Phase'!B8*('Transition Phase'!B7)</f>
        <v>0.11550000000000002</v>
      </c>
    </row>
    <row r="16" spans="1:8" x14ac:dyDescent="0.3">
      <c r="A16" s="13" t="s">
        <v>5</v>
      </c>
      <c r="B16" s="21">
        <f>(9/10*B14)+(1/10*'Transition Phase'!B4*(1-'Transition Phase'!B9))</f>
        <v>0.10920000000000002</v>
      </c>
    </row>
    <row r="17" spans="1:8" x14ac:dyDescent="0.3">
      <c r="A17" s="20"/>
      <c r="B17" s="20"/>
      <c r="C17" s="20"/>
      <c r="D17" s="20"/>
      <c r="E17" s="20"/>
      <c r="F17" s="20"/>
      <c r="G17" s="20"/>
      <c r="H17" s="20"/>
    </row>
    <row r="19" spans="1:8" x14ac:dyDescent="0.3">
      <c r="A19" s="13" t="s">
        <v>77</v>
      </c>
    </row>
    <row r="21" spans="1:8" x14ac:dyDescent="0.3">
      <c r="A21" s="13" t="s">
        <v>76</v>
      </c>
      <c r="B21" s="18">
        <f>'Stable Phase'!B5+'Stable Phase'!B7*('Stable Phase'!B6)</f>
        <v>0.129</v>
      </c>
    </row>
    <row r="23" spans="1:8" x14ac:dyDescent="0.3">
      <c r="A23" s="13" t="s">
        <v>5</v>
      </c>
      <c r="B23" s="22">
        <f>47/50*B21+3/50*'Stable Phase'!B3*(1-'Stable Phase'!B8)</f>
        <v>0.12417375</v>
      </c>
    </row>
    <row r="24" spans="1:8" x14ac:dyDescent="0.3">
      <c r="A24" s="20"/>
      <c r="B24" s="20"/>
      <c r="C24" s="20"/>
      <c r="D24" s="20"/>
      <c r="E24" s="20"/>
      <c r="F24" s="20"/>
      <c r="G24" s="20"/>
      <c r="H24" s="20"/>
    </row>
    <row r="26" spans="1:8" x14ac:dyDescent="0.3">
      <c r="A26" s="13" t="s">
        <v>78</v>
      </c>
      <c r="B26" s="13"/>
    </row>
    <row r="28" spans="1:8" x14ac:dyDescent="0.3">
      <c r="A28" s="13" t="s">
        <v>6</v>
      </c>
    </row>
    <row r="29" spans="1:8" x14ac:dyDescent="0.3">
      <c r="A29" s="14" t="s">
        <v>97</v>
      </c>
      <c r="B29" s="60">
        <f>('Stable Phase'!B24*(1+6.5%)/'Calculated WACC &amp; TV'!B23-6.5%)</f>
        <v>237622.78444195166</v>
      </c>
    </row>
    <row r="31" spans="1:8" x14ac:dyDescent="0.3">
      <c r="A31" s="17" t="s">
        <v>79</v>
      </c>
      <c r="B31" s="23">
        <f>PV(0.65,5, 0, -237622.78, 0)</f>
        <v>19429.800947699699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7217-D37B-4B71-AA45-2E137A30C65D}">
  <dimension ref="A1:D9"/>
  <sheetViews>
    <sheetView tabSelected="1" workbookViewId="0">
      <selection activeCell="D11" sqref="D11"/>
    </sheetView>
  </sheetViews>
  <sheetFormatPr defaultColWidth="14.44140625" defaultRowHeight="13.8" x14ac:dyDescent="0.3"/>
  <cols>
    <col min="1" max="1" width="14.44140625" style="12"/>
    <col min="2" max="2" width="12.21875" style="12" bestFit="1" customWidth="1"/>
    <col min="3" max="3" width="12" style="12" bestFit="1" customWidth="1"/>
    <col min="4" max="4" width="30" style="12" bestFit="1" customWidth="1"/>
    <col min="5" max="16384" width="14.44140625" style="12"/>
  </cols>
  <sheetData>
    <row r="1" spans="1:4" ht="41.4" x14ac:dyDescent="0.3">
      <c r="A1" s="8" t="s">
        <v>85</v>
      </c>
      <c r="B1" s="8" t="s">
        <v>94</v>
      </c>
      <c r="C1" s="8" t="s">
        <v>95</v>
      </c>
    </row>
    <row r="2" spans="1:4" x14ac:dyDescent="0.3">
      <c r="A2" s="9">
        <v>2025</v>
      </c>
      <c r="B2" s="10">
        <v>15361.49</v>
      </c>
      <c r="C2" s="12">
        <f>15361.49/(1.1312)^1</f>
        <v>13579.817892503535</v>
      </c>
    </row>
    <row r="3" spans="1:4" x14ac:dyDescent="0.3">
      <c r="A3" s="9">
        <v>2026</v>
      </c>
      <c r="B3" s="10">
        <v>18705.38</v>
      </c>
      <c r="C3" s="12">
        <f>B3/(1.1312)^2</f>
        <v>14617.992758813163</v>
      </c>
    </row>
    <row r="4" spans="1:4" x14ac:dyDescent="0.3">
      <c r="A4" s="9">
        <v>2027</v>
      </c>
      <c r="B4" s="10">
        <v>20248.39</v>
      </c>
      <c r="C4" s="12">
        <f>B4/(1.1092)*(1.1312)^2</f>
        <v>23359.278743564366</v>
      </c>
    </row>
    <row r="5" spans="1:4" x14ac:dyDescent="0.3">
      <c r="A5" s="9">
        <v>2028</v>
      </c>
      <c r="B5" s="10">
        <v>23922.639999999999</v>
      </c>
      <c r="C5" s="12">
        <f>B5/(1.1092)^2*(1.1312)^2</f>
        <v>24881.019747992366</v>
      </c>
    </row>
    <row r="6" spans="1:4" x14ac:dyDescent="0.3">
      <c r="A6" s="9">
        <v>2029</v>
      </c>
      <c r="B6" s="10">
        <v>27705.65</v>
      </c>
      <c r="C6" s="12">
        <f>B6/(1.1242)*(1.1312)^2</f>
        <v>31535.778423711079</v>
      </c>
    </row>
    <row r="8" spans="1:4" x14ac:dyDescent="0.3">
      <c r="A8" s="15" t="s">
        <v>83</v>
      </c>
    </row>
    <row r="9" spans="1:4" x14ac:dyDescent="0.3">
      <c r="B9" s="16">
        <f>SUM(C2:C6,'Calculated WACC &amp; TV'!B31)</f>
        <v>127403.68851428421</v>
      </c>
      <c r="C9" s="11" t="s">
        <v>80</v>
      </c>
      <c r="D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Name</vt:lpstr>
      <vt:lpstr>Base year &amp; 10 Year data</vt:lpstr>
      <vt:lpstr>Beta Calculation</vt:lpstr>
      <vt:lpstr>High Growth Phase</vt:lpstr>
      <vt:lpstr>Transition Phase</vt:lpstr>
      <vt:lpstr>Stable Phase</vt:lpstr>
      <vt:lpstr>Calculated WACC &amp; TV</vt:lpstr>
      <vt:lpstr>Value of 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Pannaga Kumar</dc:creator>
  <cp:lastModifiedBy>Pannaga Kumar</cp:lastModifiedBy>
  <dcterms:created xsi:type="dcterms:W3CDTF">2025-03-14T03:32:23Z</dcterms:created>
  <dcterms:modified xsi:type="dcterms:W3CDTF">2025-12-02T08:49:19Z</dcterms:modified>
</cp:coreProperties>
</file>