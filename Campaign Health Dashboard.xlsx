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7df388541f059112/Dokumen/"/>
    </mc:Choice>
  </mc:AlternateContent>
  <xr:revisionPtr revIDLastSave="422" documentId="8_{A7989742-4CF8-44DD-B3E0-9D2A06B090E3}" xr6:coauthVersionLast="47" xr6:coauthVersionMax="47" xr10:uidLastSave="{8469C2AA-D98E-4626-B9EA-C834654057C8}"/>
  <bookViews>
    <workbookView xWindow="-108" yWindow="-108" windowWidth="23256" windowHeight="12456" activeTab="3" xr2:uid="{B0E13895-63F4-45D5-919D-A54697CF9C5B}"/>
  </bookViews>
  <sheets>
    <sheet name="Dashboard" sheetId="2" r:id="rId1"/>
    <sheet name="Raw_Data" sheetId="1" r:id="rId2"/>
    <sheet name="Pie Chart" sheetId="5" r:id="rId3"/>
    <sheet name="Bar Chart" sheetId="8" r:id="rId4"/>
    <sheet name="Line Graph" sheetId="9" r:id="rId5"/>
  </sheets>
  <definedNames>
    <definedName name="Slicer_Channel">#N/A</definedName>
    <definedName name="Slicer_Month">#N/A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2" l="1"/>
  <c r="I13" i="2"/>
  <c r="I14" i="2"/>
  <c r="I15" i="2"/>
  <c r="I16" i="2"/>
  <c r="L13" i="2"/>
  <c r="L14" i="2"/>
  <c r="L15" i="2"/>
  <c r="L16" i="2"/>
  <c r="L12" i="2"/>
  <c r="J13" i="2"/>
  <c r="J14" i="2"/>
  <c r="J15" i="2"/>
  <c r="J16" i="2"/>
  <c r="J12" i="2"/>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2" i="1"/>
  <c r="S8" i="2"/>
  <c r="M8" i="2"/>
  <c r="I8" i="2"/>
  <c r="E8" i="2"/>
  <c r="A8" i="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2" i="1"/>
  <c r="K14" i="2" l="1"/>
  <c r="K13" i="2"/>
  <c r="K15" i="2"/>
  <c r="K12" i="2"/>
  <c r="K16" i="2"/>
</calcChain>
</file>

<file path=xl/sharedStrings.xml><?xml version="1.0" encoding="utf-8"?>
<sst xmlns="http://schemas.openxmlformats.org/spreadsheetml/2006/main" count="581" uniqueCount="163">
  <si>
    <t>Date</t>
  </si>
  <si>
    <t>Channel</t>
  </si>
  <si>
    <t>Impressions</t>
  </si>
  <si>
    <t>Clicks</t>
  </si>
  <si>
    <t>Conversions</t>
  </si>
  <si>
    <t>Spend</t>
  </si>
  <si>
    <t>CTR</t>
  </si>
  <si>
    <t>CPC</t>
  </si>
  <si>
    <t>CPA</t>
  </si>
  <si>
    <t>ROAS</t>
  </si>
  <si>
    <t>Revenue</t>
  </si>
  <si>
    <t>Campaign Name</t>
  </si>
  <si>
    <t>Campaign Type</t>
  </si>
  <si>
    <t>New Year Sale - Search</t>
  </si>
  <si>
    <t>Google Ads</t>
  </si>
  <si>
    <t>Search</t>
  </si>
  <si>
    <t>New Year Sale - Social</t>
  </si>
  <si>
    <t>Video</t>
  </si>
  <si>
    <t>Brand Awareness - Display</t>
  </si>
  <si>
    <t>Display</t>
  </si>
  <si>
    <t>Retargeting Campaign</t>
  </si>
  <si>
    <t>Shopping Campaign</t>
  </si>
  <si>
    <t>Shopping</t>
  </si>
  <si>
    <t>Engagement Campaign</t>
  </si>
  <si>
    <t>Engagement</t>
  </si>
  <si>
    <t>Mobile App Install</t>
  </si>
  <si>
    <t>App</t>
  </si>
  <si>
    <t>Video Marketing</t>
  </si>
  <si>
    <t>Brand Keywords</t>
  </si>
  <si>
    <t>Event Promotion</t>
  </si>
  <si>
    <t>Event</t>
  </si>
  <si>
    <t>Competitor Keywords</t>
  </si>
  <si>
    <t>Lookalike Audience</t>
  </si>
  <si>
    <t>Lookalike</t>
  </si>
  <si>
    <t>Performance Max</t>
  </si>
  <si>
    <t>Custom Audience</t>
  </si>
  <si>
    <t>Custom</t>
  </si>
  <si>
    <t>Local Services</t>
  </si>
  <si>
    <t>Local</t>
  </si>
  <si>
    <t>Interest Targeting</t>
  </si>
  <si>
    <t>Interest</t>
  </si>
  <si>
    <t>YouTube Ads</t>
  </si>
  <si>
    <t>Page Like Campaign</t>
  </si>
  <si>
    <t>Page Likes</t>
  </si>
  <si>
    <t>Discovery Ads</t>
  </si>
  <si>
    <t>Discovery</t>
  </si>
  <si>
    <t>Messenger Ads</t>
  </si>
  <si>
    <t>Messenger</t>
  </si>
  <si>
    <t>Smart Shopping</t>
  </si>
  <si>
    <t>Instant Experience</t>
  </si>
  <si>
    <t>Instant</t>
  </si>
  <si>
    <t>LinkedIn Campaign 85</t>
  </si>
  <si>
    <t>LinkedIn Ads</t>
  </si>
  <si>
    <t>Sponsored Content</t>
  </si>
  <si>
    <t>Campaign 46</t>
  </si>
  <si>
    <t>Instagram Ads</t>
  </si>
  <si>
    <t>Photo</t>
  </si>
  <si>
    <t>Campaign 98</t>
  </si>
  <si>
    <t>Facebook Ads</t>
  </si>
  <si>
    <t>Campaign 53</t>
  </si>
  <si>
    <t>Campaign 39</t>
  </si>
  <si>
    <t>Campaign 37</t>
  </si>
  <si>
    <t>Campaign 70</t>
  </si>
  <si>
    <t>Campaign 65</t>
  </si>
  <si>
    <t>Campaign 49</t>
  </si>
  <si>
    <t>Campaign 80</t>
  </si>
  <si>
    <t>Campaign 79</t>
  </si>
  <si>
    <t>Campaign 1</t>
  </si>
  <si>
    <t>Campaign 51</t>
  </si>
  <si>
    <t>LinkedIn Campaign 31</t>
  </si>
  <si>
    <t>Campaign 87</t>
  </si>
  <si>
    <t>Campaign 85</t>
  </si>
  <si>
    <t>Campaign 68</t>
  </si>
  <si>
    <t>LinkedIn Campaign 92</t>
  </si>
  <si>
    <t>Campaign 36</t>
  </si>
  <si>
    <t>Campaign 22</t>
  </si>
  <si>
    <t>Campaign 91</t>
  </si>
  <si>
    <t>Campaign 76</t>
  </si>
  <si>
    <t>LinkedIn Campaign 63</t>
  </si>
  <si>
    <t>Campaign 17</t>
  </si>
  <si>
    <t>Campaign 88</t>
  </si>
  <si>
    <t>Campaign 57</t>
  </si>
  <si>
    <t>Campaign 10</t>
  </si>
  <si>
    <t>LinkedIn Campaign 12</t>
  </si>
  <si>
    <t>Campaign 23</t>
  </si>
  <si>
    <t>Campaign 75</t>
  </si>
  <si>
    <t>Campaign 95</t>
  </si>
  <si>
    <t>Campaign 29</t>
  </si>
  <si>
    <t>Campaign 43</t>
  </si>
  <si>
    <t>Campaign 15</t>
  </si>
  <si>
    <t>Campaign 61</t>
  </si>
  <si>
    <t>Campaign 64</t>
  </si>
  <si>
    <t>Campaign 44</t>
  </si>
  <si>
    <t>Campaign 90</t>
  </si>
  <si>
    <t>Campaign 19</t>
  </si>
  <si>
    <t>Campaign 16</t>
  </si>
  <si>
    <t>Campaign 89</t>
  </si>
  <si>
    <t>LinkedIn Campaign 23</t>
  </si>
  <si>
    <t>Campaign 60</t>
  </si>
  <si>
    <t>Campaign 66</t>
  </si>
  <si>
    <t>Campaign 67</t>
  </si>
  <si>
    <t>Campaign 74</t>
  </si>
  <si>
    <t>Campaign 28</t>
  </si>
  <si>
    <t>Campaign 8</t>
  </si>
  <si>
    <t>Campaign 62</t>
  </si>
  <si>
    <t>Campaign 5</t>
  </si>
  <si>
    <t>Campaign 4</t>
  </si>
  <si>
    <t>LinkedIn Campaign 84</t>
  </si>
  <si>
    <t>Campaign 24</t>
  </si>
  <si>
    <t>LinkedIn Campaign 59</t>
  </si>
  <si>
    <t>Campaign 78</t>
  </si>
  <si>
    <t>Campaign 99</t>
  </si>
  <si>
    <t>Campaign 6</t>
  </si>
  <si>
    <t>Campaign 59</t>
  </si>
  <si>
    <t>Campaign 18</t>
  </si>
  <si>
    <t>Campaign 3</t>
  </si>
  <si>
    <t>LinkedIn Campaign 88</t>
  </si>
  <si>
    <t>Campaign 63</t>
  </si>
  <si>
    <t>Campaign 97</t>
  </si>
  <si>
    <t>LinkedIn Campaign 29</t>
  </si>
  <si>
    <t>Campaign 34</t>
  </si>
  <si>
    <t>Campaign 14</t>
  </si>
  <si>
    <t>Campaign 9</t>
  </si>
  <si>
    <t>Campaign 96</t>
  </si>
  <si>
    <t>Campaign 86</t>
  </si>
  <si>
    <t>Campaign 69</t>
  </si>
  <si>
    <t>Campaign 94</t>
  </si>
  <si>
    <t>Campaign 73</t>
  </si>
  <si>
    <t>Campaign 82</t>
  </si>
  <si>
    <t>Campaign 72</t>
  </si>
  <si>
    <t>Campaign 93</t>
  </si>
  <si>
    <t>LinkedIn Campaign 5</t>
  </si>
  <si>
    <t>Campaign 48</t>
  </si>
  <si>
    <t>Campaign 25</t>
  </si>
  <si>
    <t>Email Campaign 94</t>
  </si>
  <si>
    <t>Email Marketing</t>
  </si>
  <si>
    <t>Newsletter</t>
  </si>
  <si>
    <t>Campaign 27</t>
  </si>
  <si>
    <t>Campaign 84</t>
  </si>
  <si>
    <t>Campaign 56</t>
  </si>
  <si>
    <t>Campaign 13</t>
  </si>
  <si>
    <t>LinkedIn Campaign 16</t>
  </si>
  <si>
    <t>Campaign 55</t>
  </si>
  <si>
    <t>Campaign 30</t>
  </si>
  <si>
    <t>Row Labels</t>
  </si>
  <si>
    <t>Grand Total</t>
  </si>
  <si>
    <t>Sum of Spend</t>
  </si>
  <si>
    <t>Sum of Revenue</t>
  </si>
  <si>
    <t>Sum of ROAS</t>
  </si>
  <si>
    <t>Month</t>
  </si>
  <si>
    <t>January</t>
  </si>
  <si>
    <t>February</t>
  </si>
  <si>
    <t>March</t>
  </si>
  <si>
    <t>April</t>
  </si>
  <si>
    <t>May</t>
  </si>
  <si>
    <t>June</t>
  </si>
  <si>
    <t>July</t>
  </si>
  <si>
    <t>August</t>
  </si>
  <si>
    <t>September</t>
  </si>
  <si>
    <t>October</t>
  </si>
  <si>
    <t>November</t>
  </si>
  <si>
    <t>December</t>
  </si>
  <si>
    <t>Marketing Campaign Health Dashboard - Pannaga A Kumar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</si>
</sst>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8" x14ac:knownFonts="1">
    <font>
      <sz val="11"/>
      <color theme="1"/>
      <name val="Gill Sans MT"/>
      <family val="2"/>
      <scheme val="minor"/>
    </font>
    <font>
      <sz val="11"/>
      <color theme="1"/>
      <name val="Gill Sans MT"/>
      <family val="2"/>
      <scheme val="minor"/>
    </font>
    <font>
      <sz val="11"/>
      <color theme="1"/>
      <name val="Arial"/>
      <family val="2"/>
    </font>
    <font>
      <b/>
      <sz val="10"/>
      <name val="Arial"/>
      <family val="2"/>
    </font>
    <font>
      <b/>
      <sz val="11"/>
      <name val="Arial"/>
      <family val="2"/>
    </font>
    <font>
      <b/>
      <sz val="11"/>
      <color theme="1"/>
      <name val="Arial"/>
      <family val="2"/>
    </font>
    <font>
      <b/>
      <sz val="11"/>
      <color theme="1"/>
      <name val="Arial Bold"/>
    </font>
    <font>
      <u/>
      <sz val="20"/>
      <color theme="1"/>
      <name val="Arial Bold"/>
    </font>
  </fonts>
  <fills count="4">
    <fill>
      <patternFill patternType="none"/>
    </fill>
    <fill>
      <patternFill patternType="gray125"/>
    </fill>
    <fill>
      <patternFill patternType="solid">
        <fgColor theme="4" tint="0.749992370372631"/>
        <bgColor indexed="64"/>
      </patternFill>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center"/>
    </xf>
    <xf numFmtId="0" fontId="0" fillId="0" borderId="0" xfId="0" applyAlignment="1">
      <alignment vertical="center"/>
    </xf>
    <xf numFmtId="0" fontId="2" fillId="0" borderId="0" xfId="0" applyFont="1" applyAlignment="1">
      <alignment horizontal="center"/>
    </xf>
    <xf numFmtId="0" fontId="2" fillId="0" borderId="0" xfId="0" applyFont="1"/>
    <xf numFmtId="0" fontId="2" fillId="0" borderId="0" xfId="0" pivotButton="1" applyFont="1"/>
    <xf numFmtId="0" fontId="2" fillId="0" borderId="0" xfId="0" applyFont="1" applyAlignment="1">
      <alignment horizontal="left"/>
    </xf>
    <xf numFmtId="2" fontId="2" fillId="0" borderId="0" xfId="0" applyNumberFormat="1" applyFont="1"/>
    <xf numFmtId="14"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3" fillId="0" borderId="0" xfId="0" applyFont="1"/>
    <xf numFmtId="14" fontId="2" fillId="0" borderId="0" xfId="0" applyNumberFormat="1" applyFont="1" applyAlignment="1">
      <alignment horizontal="center" vertical="center" wrapText="1"/>
    </xf>
    <xf numFmtId="0" fontId="2" fillId="0" borderId="0" xfId="0" applyFont="1" applyAlignment="1">
      <alignment horizontal="center" vertical="center" wrapText="1"/>
    </xf>
    <xf numFmtId="9" fontId="2" fillId="0" borderId="0" xfId="1" applyFont="1" applyAlignment="1">
      <alignment horizontal="center" vertical="center" wrapText="1"/>
    </xf>
    <xf numFmtId="164" fontId="2" fillId="0" borderId="0" xfId="0" applyNumberFormat="1" applyFont="1" applyAlignment="1">
      <alignment horizontal="center"/>
    </xf>
    <xf numFmtId="164" fontId="2" fillId="0" borderId="0" xfId="0" applyNumberFormat="1" applyFont="1" applyAlignment="1">
      <alignment horizontal="center" vertical="center" wrapText="1"/>
    </xf>
    <xf numFmtId="2" fontId="2" fillId="0" borderId="0" xfId="0" applyNumberFormat="1" applyFont="1" applyAlignment="1">
      <alignment horizontal="center" vertical="center" wrapText="1"/>
    </xf>
    <xf numFmtId="14" fontId="2" fillId="0" borderId="0" xfId="0" applyNumberFormat="1" applyFont="1" applyAlignment="1">
      <alignment horizontal="center"/>
    </xf>
    <xf numFmtId="0" fontId="3" fillId="2" borderId="0" xfId="0" applyFont="1" applyFill="1"/>
    <xf numFmtId="0" fontId="4" fillId="2" borderId="0" xfId="0" applyFont="1" applyFill="1"/>
    <xf numFmtId="0" fontId="5" fillId="3" borderId="0" xfId="0" applyFont="1" applyFill="1"/>
    <xf numFmtId="0" fontId="2" fillId="3" borderId="0" xfId="0" applyFont="1" applyFill="1" applyAlignment="1">
      <alignment wrapText="1"/>
    </xf>
    <xf numFmtId="0" fontId="2" fillId="3" borderId="0" xfId="0" applyFont="1" applyFill="1"/>
    <xf numFmtId="0" fontId="2" fillId="0" borderId="1" xfId="0" applyFont="1" applyBorder="1" applyAlignment="1">
      <alignment horizontal="left"/>
    </xf>
    <xf numFmtId="0" fontId="2" fillId="0" borderId="1" xfId="0" applyFont="1" applyBorder="1"/>
    <xf numFmtId="0" fontId="6" fillId="3" borderId="0" xfId="0" applyFont="1" applyFill="1"/>
    <xf numFmtId="0" fontId="0" fillId="3" borderId="0" xfId="0" applyFill="1"/>
    <xf numFmtId="0" fontId="6" fillId="3" borderId="0" xfId="0" applyFont="1" applyFill="1" applyAlignment="1">
      <alignment horizontal="center" vertical="center"/>
    </xf>
    <xf numFmtId="0" fontId="0" fillId="0" borderId="0" xfId="0" applyAlignment="1">
      <alignment horizontal="center"/>
    </xf>
    <xf numFmtId="0" fontId="7" fillId="0" borderId="0" xfId="0" applyFont="1" applyAlignment="1">
      <alignment horizontal="left" vertical="center"/>
    </xf>
  </cellXfs>
  <cellStyles count="2">
    <cellStyle name="Normal" xfId="0" builtinId="0"/>
    <cellStyle name="Percent" xfId="1" builtinId="5"/>
  </cellStyles>
  <dxfs count="26">
    <dxf>
      <fill>
        <patternFill>
          <bgColor theme="9" tint="0.59996337778862885"/>
        </patternFill>
      </fill>
    </dxf>
    <dxf>
      <fill>
        <patternFill>
          <bgColor rgb="FFFFFF00"/>
        </patternFill>
      </fill>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fill>
        <patternFill patternType="solid">
          <fgColor indexed="64"/>
          <bgColor theme="0"/>
        </patternFill>
      </fill>
    </dxf>
    <dxf>
      <font>
        <b val="0"/>
        <i val="0"/>
        <strike val="0"/>
        <condense val="0"/>
        <extend val="0"/>
        <outline val="0"/>
        <shadow val="0"/>
        <u val="none"/>
        <vertAlign val="baseline"/>
        <sz val="11"/>
        <color theme="1"/>
        <name val="Arial"/>
        <family val="2"/>
        <scheme val="none"/>
      </font>
      <fill>
        <patternFill patternType="solid">
          <fgColor indexed="64"/>
          <bgColor theme="0"/>
        </patternFill>
      </fill>
      <alignment horizontal="general" vertical="bottom" textRotation="0" wrapText="1" indent="0" justifyLastLine="0" shrinkToFit="0" readingOrder="0"/>
    </dxf>
    <dxf>
      <font>
        <b/>
        <i val="0"/>
        <strike val="0"/>
        <condense val="0"/>
        <extend val="0"/>
        <outline val="0"/>
        <shadow val="0"/>
        <u val="none"/>
        <vertAlign val="baseline"/>
        <sz val="11"/>
        <color theme="1"/>
        <name val="Arial"/>
        <family val="2"/>
        <scheme val="none"/>
      </font>
      <fill>
        <patternFill patternType="solid">
          <fgColor indexed="64"/>
          <bgColor theme="0"/>
        </patternFill>
      </fill>
    </dxf>
    <dxf>
      <font>
        <b val="0"/>
        <i val="0"/>
        <strike val="0"/>
        <condense val="0"/>
        <extend val="0"/>
        <outline val="0"/>
        <shadow val="0"/>
        <u val="none"/>
        <vertAlign val="baseline"/>
        <sz val="11"/>
        <color theme="1"/>
        <name val="Arial"/>
        <family val="2"/>
        <scheme val="none"/>
      </font>
    </dxf>
    <dxf>
      <font>
        <b/>
        <i val="0"/>
        <strike val="0"/>
        <condense val="0"/>
        <extend val="0"/>
        <outline val="0"/>
        <shadow val="0"/>
        <u val="none"/>
        <vertAlign val="baseline"/>
        <sz val="11"/>
        <color auto="1"/>
        <name val="Arial"/>
        <family val="2"/>
        <scheme val="none"/>
      </font>
      <fill>
        <patternFill patternType="solid">
          <fgColor indexed="64"/>
          <bgColor theme="4" tint="0.749992370372631"/>
        </patternFill>
      </fill>
    </dxf>
    <dxf>
      <border>
        <bottom style="thin">
          <color indexed="64"/>
        </bottom>
      </border>
    </dxf>
    <dxf>
      <border>
        <bottom style="thin">
          <color indexed="64"/>
        </bottom>
      </bord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right/>
      </border>
    </dxf>
    <dxf>
      <border>
        <left/>
        <right/>
      </border>
    </dxf>
    <dxf>
      <border>
        <left/>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 Health Dashboard.xlsx]Pie Chart!PieChart</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b="1"/>
              <a:t>Spend by Channel</a:t>
            </a:r>
          </a:p>
        </c:rich>
      </c:tx>
      <c:layout>
        <c:manualLayout>
          <c:xMode val="edge"/>
          <c:yMode val="edge"/>
          <c:x val="2.8831075670625893E-2"/>
          <c:y val="3.961516694963214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76-42D3-A9B2-844321E8AA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76-42D3-A9B2-844321E8AA8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76-42D3-A9B2-844321E8AA8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76-42D3-A9B2-844321E8AA8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76-42D3-A9B2-844321E8AA88}"/>
              </c:ext>
            </c:extLst>
          </c:dPt>
          <c:cat>
            <c:strRef>
              <c:f>'Pie Chart'!$A$4:$A$9</c:f>
              <c:strCache>
                <c:ptCount val="5"/>
                <c:pt idx="0">
                  <c:v>Email Marketing</c:v>
                </c:pt>
                <c:pt idx="1">
                  <c:v>Facebook Ads</c:v>
                </c:pt>
                <c:pt idx="2">
                  <c:v>Google Ads</c:v>
                </c:pt>
                <c:pt idx="3">
                  <c:v>Instagram Ads</c:v>
                </c:pt>
                <c:pt idx="4">
                  <c:v>LinkedIn Ads</c:v>
                </c:pt>
              </c:strCache>
            </c:strRef>
          </c:cat>
          <c:val>
            <c:numRef>
              <c:f>'Pie Chart'!$B$4:$B$9</c:f>
              <c:numCache>
                <c:formatCode>General</c:formatCode>
                <c:ptCount val="5"/>
                <c:pt idx="0">
                  <c:v>1477</c:v>
                </c:pt>
                <c:pt idx="1">
                  <c:v>80512</c:v>
                </c:pt>
                <c:pt idx="2">
                  <c:v>7395</c:v>
                </c:pt>
                <c:pt idx="3">
                  <c:v>35602</c:v>
                </c:pt>
                <c:pt idx="4">
                  <c:v>12790</c:v>
                </c:pt>
              </c:numCache>
            </c:numRef>
          </c:val>
          <c:extLst>
            <c:ext xmlns:c16="http://schemas.microsoft.com/office/drawing/2014/chart" uri="{C3380CC4-5D6E-409C-BE32-E72D297353CC}">
              <c16:uniqueId val="{0000000A-0776-42D3-A9B2-844321E8AA8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 Health Dashboard.xlsx]Bar Chart!BarChart</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b="1"/>
              <a:t>ROAS Performance by Channel</a:t>
            </a:r>
          </a:p>
        </c:rich>
      </c:tx>
      <c:layout>
        <c:manualLayout>
          <c:xMode val="edge"/>
          <c:yMode val="edge"/>
          <c:x val="1.1458223972003504E-2"/>
          <c:y val="2.314814814814814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Email Marketing</c:v>
                </c:pt>
                <c:pt idx="1">
                  <c:v>Facebook Ads</c:v>
                </c:pt>
                <c:pt idx="2">
                  <c:v>Google Ads</c:v>
                </c:pt>
                <c:pt idx="3">
                  <c:v>Instagram Ads</c:v>
                </c:pt>
                <c:pt idx="4">
                  <c:v>LinkedIn Ads</c:v>
                </c:pt>
              </c:strCache>
            </c:strRef>
          </c:cat>
          <c:val>
            <c:numRef>
              <c:f>'Bar Chart'!$B$4:$B$9</c:f>
              <c:numCache>
                <c:formatCode>0.00</c:formatCode>
                <c:ptCount val="5"/>
                <c:pt idx="0">
                  <c:v>6.6885578876100205</c:v>
                </c:pt>
                <c:pt idx="1">
                  <c:v>997.98326229228223</c:v>
                </c:pt>
                <c:pt idx="2">
                  <c:v>106.05387616142256</c:v>
                </c:pt>
                <c:pt idx="3">
                  <c:v>492.18266593870425</c:v>
                </c:pt>
                <c:pt idx="4">
                  <c:v>117.16322065527899</c:v>
                </c:pt>
              </c:numCache>
            </c:numRef>
          </c:val>
          <c:extLst>
            <c:ext xmlns:c16="http://schemas.microsoft.com/office/drawing/2014/chart" uri="{C3380CC4-5D6E-409C-BE32-E72D297353CC}">
              <c16:uniqueId val="{00000000-03B8-4E57-A7FD-FF56DDB70E4D}"/>
            </c:ext>
          </c:extLst>
        </c:ser>
        <c:dLbls>
          <c:showLegendKey val="0"/>
          <c:showVal val="0"/>
          <c:showCatName val="0"/>
          <c:showSerName val="0"/>
          <c:showPercent val="0"/>
          <c:showBubbleSize val="0"/>
        </c:dLbls>
        <c:gapWidth val="219"/>
        <c:overlap val="-27"/>
        <c:axId val="195660671"/>
        <c:axId val="206382495"/>
      </c:barChart>
      <c:catAx>
        <c:axId val="19566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6382495"/>
        <c:crosses val="autoZero"/>
        <c:auto val="1"/>
        <c:lblAlgn val="ctr"/>
        <c:lblOffset val="100"/>
        <c:noMultiLvlLbl val="0"/>
      </c:catAx>
      <c:valAx>
        <c:axId val="206382495"/>
        <c:scaling>
          <c:orientation val="minMax"/>
          <c:max val="1100"/>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9566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 Health Dashboard.xlsx]Line Graph!LineGraph</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b="1"/>
              <a:t>Revenue Trend Over Time</a:t>
            </a:r>
          </a:p>
        </c:rich>
      </c:tx>
      <c:layout>
        <c:manualLayout>
          <c:xMode val="edge"/>
          <c:yMode val="edge"/>
          <c:x val="1.9513779527559037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Graph'!$B$3</c:f>
              <c:strCache>
                <c:ptCount val="1"/>
                <c:pt idx="0">
                  <c:v>Total</c:v>
                </c:pt>
              </c:strCache>
            </c:strRef>
          </c:tx>
          <c:spPr>
            <a:ln w="28575" cap="rnd">
              <a:solidFill>
                <a:schemeClr val="accent1"/>
              </a:solidFill>
              <a:round/>
            </a:ln>
            <a:effectLst/>
          </c:spPr>
          <c:marker>
            <c:symbol val="none"/>
          </c:marker>
          <c:cat>
            <c:strRef>
              <c:f>'Line Graph'!$A$4:$A$16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'Line Graph'!$B$4:$B$16</c:f>
              <c:numCache>
                <c:formatCode>General</c:formatCode>
                <c:ptCount val="12"/>
                <c:pt idx="0">
                  <c:v>78525</c:v>
                </c:pt>
                <c:pt idx="1">
                  <c:v>88366</c:v>
                </c:pt>
                <c:pt idx="2">
                  <c:v>88318</c:v>
                </c:pt>
                <c:pt idx="3">
                  <c:v>107521</c:v>
                </c:pt>
                <c:pt idx="4">
                  <c:v>33600</c:v>
                </c:pt>
                <c:pt idx="5">
                  <c:v>106116</c:v>
                </c:pt>
                <c:pt idx="6">
                  <c:v>109114</c:v>
                </c:pt>
                <c:pt idx="7">
                  <c:v>101197</c:v>
                </c:pt>
                <c:pt idx="8">
                  <c:v>67470</c:v>
                </c:pt>
                <c:pt idx="9">
                  <c:v>110079</c:v>
                </c:pt>
                <c:pt idx="10">
                  <c:v>80205</c:v>
                </c:pt>
                <c:pt idx="11">
                  <c:v>87132</c:v>
                </c:pt>
              </c:numCache>
            </c:numRef>
          </c:val>
          <c:smooth val="0"/>
          <c:extLst>
            <c:ext xmlns:c16="http://schemas.microsoft.com/office/drawing/2014/chart" uri="{C3380CC4-5D6E-409C-BE32-E72D297353CC}">
              <c16:uniqueId val="{00000000-D164-4269-A887-81A143A4AB93}"/>
            </c:ext>
          </c:extLst>
        </c:ser>
        <c:dLbls>
          <c:showLegendKey val="0"/>
          <c:showVal val="0"/>
          <c:showCatName val="0"/>
          <c:showSerName val="0"/>
          <c:showPercent val="0"/>
          <c:showBubbleSize val="0"/>
        </c:dLbls>
        <c:smooth val="0"/>
        <c:axId val="536279584"/>
        <c:axId val="536280064"/>
      </c:lineChart>
      <c:catAx>
        <c:axId val="53627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36280064"/>
        <c:crosses val="autoZero"/>
        <c:auto val="1"/>
        <c:lblAlgn val="ctr"/>
        <c:lblOffset val="100"/>
        <c:noMultiLvlLbl val="0"/>
      </c:catAx>
      <c:valAx>
        <c:axId val="536280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3627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b="1"/>
              <a:t>CTR vs CPC Analysis</a:t>
            </a:r>
          </a:p>
        </c:rich>
      </c:tx>
      <c:layout>
        <c:manualLayout>
          <c:xMode val="edge"/>
          <c:yMode val="edge"/>
          <c:x val="1.7416666666666653E-2"/>
          <c:y val="2.7777777777777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IN"/>
        </a:p>
      </c:txPr>
    </c:title>
    <c:autoTitleDeleted val="0"/>
    <c:plotArea>
      <c:layout/>
      <c:scatterChart>
        <c:scatterStyle val="lineMarker"/>
        <c:varyColors val="0"/>
        <c:ser>
          <c:idx val="1"/>
          <c:order val="0"/>
          <c:spPr>
            <a:ln w="25400" cap="rnd">
              <a:noFill/>
              <a:round/>
            </a:ln>
            <a:effectLst/>
          </c:spPr>
          <c:marker>
            <c:symbol val="circle"/>
            <c:size val="5"/>
            <c:spPr>
              <a:solidFill>
                <a:schemeClr val="accent2"/>
              </a:solidFill>
              <a:ln w="9525">
                <a:solidFill>
                  <a:schemeClr val="accent2"/>
                </a:solidFill>
              </a:ln>
              <a:effectLst/>
            </c:spPr>
          </c:marker>
          <c:xVal>
            <c:numRef>
              <c:f>Raw_Data!$I$2:$I$168</c:f>
              <c:numCache>
                <c:formatCode>0%</c:formatCode>
                <c:ptCount val="167"/>
                <c:pt idx="0">
                  <c:v>5.6666666666666664E-2</c:v>
                </c:pt>
                <c:pt idx="1">
                  <c:v>4.8000000000000001E-2</c:v>
                </c:pt>
                <c:pt idx="2">
                  <c:v>2.2285714285714287E-2</c:v>
                </c:pt>
                <c:pt idx="3">
                  <c:v>0.04</c:v>
                </c:pt>
                <c:pt idx="4">
                  <c:v>4.4642857142857144E-2</c:v>
                </c:pt>
                <c:pt idx="5">
                  <c:v>0.05</c:v>
                </c:pt>
                <c:pt idx="6">
                  <c:v>0.04</c:v>
                </c:pt>
                <c:pt idx="7">
                  <c:v>0.04</c:v>
                </c:pt>
                <c:pt idx="8">
                  <c:v>6.1444444444444447E-2</c:v>
                </c:pt>
                <c:pt idx="9">
                  <c:v>0.05</c:v>
                </c:pt>
                <c:pt idx="10">
                  <c:v>0.04</c:v>
                </c:pt>
                <c:pt idx="11">
                  <c:v>0.05</c:v>
                </c:pt>
                <c:pt idx="12">
                  <c:v>3.6666666666666667E-2</c:v>
                </c:pt>
                <c:pt idx="13">
                  <c:v>0.05</c:v>
                </c:pt>
                <c:pt idx="14">
                  <c:v>0.05</c:v>
                </c:pt>
                <c:pt idx="15">
                  <c:v>0.05</c:v>
                </c:pt>
                <c:pt idx="16">
                  <c:v>4.4285714285714282E-2</c:v>
                </c:pt>
                <c:pt idx="17">
                  <c:v>0.05</c:v>
                </c:pt>
                <c:pt idx="18">
                  <c:v>3.7894736842105266E-2</c:v>
                </c:pt>
                <c:pt idx="19">
                  <c:v>0.06</c:v>
                </c:pt>
                <c:pt idx="20">
                  <c:v>3.9375E-2</c:v>
                </c:pt>
                <c:pt idx="21">
                  <c:v>0.05</c:v>
                </c:pt>
                <c:pt idx="22">
                  <c:v>0.11754329698524696</c:v>
                </c:pt>
                <c:pt idx="23">
                  <c:v>2.4701017100704145E-2</c:v>
                </c:pt>
                <c:pt idx="24">
                  <c:v>1.2095892208758039E-2</c:v>
                </c:pt>
                <c:pt idx="25">
                  <c:v>0.20151263986738499</c:v>
                </c:pt>
                <c:pt idx="26">
                  <c:v>3.4213069211257399E-2</c:v>
                </c:pt>
                <c:pt idx="27">
                  <c:v>4.804517394841365E-2</c:v>
                </c:pt>
                <c:pt idx="28">
                  <c:v>2.6349161617584896E-2</c:v>
                </c:pt>
                <c:pt idx="29">
                  <c:v>4.8123554428113106E-2</c:v>
                </c:pt>
                <c:pt idx="30">
                  <c:v>0.1280657952709649</c:v>
                </c:pt>
                <c:pt idx="31">
                  <c:v>1.9835461565638722E-2</c:v>
                </c:pt>
                <c:pt idx="32">
                  <c:v>9.5159116823883075E-2</c:v>
                </c:pt>
                <c:pt idx="33">
                  <c:v>3.1985661599972424E-2</c:v>
                </c:pt>
                <c:pt idx="34">
                  <c:v>1.5374036052851319E-2</c:v>
                </c:pt>
                <c:pt idx="35">
                  <c:v>5.6100478468899519E-2</c:v>
                </c:pt>
                <c:pt idx="36">
                  <c:v>6.4328935621466118E-2</c:v>
                </c:pt>
                <c:pt idx="37">
                  <c:v>5.6048533140166605E-2</c:v>
                </c:pt>
                <c:pt idx="38">
                  <c:v>9.7200906234013017E-3</c:v>
                </c:pt>
                <c:pt idx="39">
                  <c:v>3.8943257317292153E-2</c:v>
                </c:pt>
                <c:pt idx="40">
                  <c:v>0.10931430836305984</c:v>
                </c:pt>
                <c:pt idx="41">
                  <c:v>1.4337824445990681E-2</c:v>
                </c:pt>
                <c:pt idx="42">
                  <c:v>4.7875131164742915E-2</c:v>
                </c:pt>
                <c:pt idx="43">
                  <c:v>3.386798640510405E-2</c:v>
                </c:pt>
                <c:pt idx="44">
                  <c:v>8.5980949945662598E-3</c:v>
                </c:pt>
                <c:pt idx="45">
                  <c:v>5.019582767164895E-2</c:v>
                </c:pt>
                <c:pt idx="46">
                  <c:v>5.9518295507179249E-3</c:v>
                </c:pt>
                <c:pt idx="47">
                  <c:v>0.28656869446343131</c:v>
                </c:pt>
                <c:pt idx="48">
                  <c:v>1.3744778331761218E-2</c:v>
                </c:pt>
                <c:pt idx="49">
                  <c:v>1.377597699647105E-2</c:v>
                </c:pt>
                <c:pt idx="50">
                  <c:v>4.7211252606824336E-2</c:v>
                </c:pt>
                <c:pt idx="51">
                  <c:v>8.3833692081114755E-2</c:v>
                </c:pt>
                <c:pt idx="52">
                  <c:v>1.516429746488379E-2</c:v>
                </c:pt>
                <c:pt idx="53">
                  <c:v>5.5632011343258687E-2</c:v>
                </c:pt>
                <c:pt idx="54">
                  <c:v>0.13226439347811381</c:v>
                </c:pt>
                <c:pt idx="55">
                  <c:v>2.6620015141284554E-2</c:v>
                </c:pt>
                <c:pt idx="56">
                  <c:v>4.880103694102398E-2</c:v>
                </c:pt>
                <c:pt idx="57">
                  <c:v>0.12595966167859465</c:v>
                </c:pt>
                <c:pt idx="58">
                  <c:v>2.5920154511335954E-2</c:v>
                </c:pt>
                <c:pt idx="59">
                  <c:v>4.9103287100543618E-2</c:v>
                </c:pt>
                <c:pt idx="60">
                  <c:v>0.12334004024144869</c:v>
                </c:pt>
                <c:pt idx="61">
                  <c:v>1.781362165994594E-2</c:v>
                </c:pt>
                <c:pt idx="62">
                  <c:v>6.0625535561268207E-2</c:v>
                </c:pt>
                <c:pt idx="63">
                  <c:v>3.2191338073691012E-2</c:v>
                </c:pt>
                <c:pt idx="64">
                  <c:v>2.8112449799196786E-2</c:v>
                </c:pt>
                <c:pt idx="65">
                  <c:v>4.4120940649496079E-2</c:v>
                </c:pt>
                <c:pt idx="66">
                  <c:v>1.2794080266613946E-2</c:v>
                </c:pt>
                <c:pt idx="67">
                  <c:v>6.2296173044925122E-2</c:v>
                </c:pt>
                <c:pt idx="68">
                  <c:v>5.2102579262434411E-2</c:v>
                </c:pt>
                <c:pt idx="69">
                  <c:v>0.18668166939443534</c:v>
                </c:pt>
                <c:pt idx="70">
                  <c:v>4.5043478260869567E-2</c:v>
                </c:pt>
                <c:pt idx="71">
                  <c:v>1.2642360862402406E-2</c:v>
                </c:pt>
                <c:pt idx="72">
                  <c:v>3.2486192806789098E-2</c:v>
                </c:pt>
                <c:pt idx="73">
                  <c:v>8.5292679674652205E-2</c:v>
                </c:pt>
                <c:pt idx="74">
                  <c:v>2.7888623849120539E-2</c:v>
                </c:pt>
                <c:pt idx="75">
                  <c:v>5.0481481481481481E-2</c:v>
                </c:pt>
                <c:pt idx="76">
                  <c:v>2.7280595464774106E-2</c:v>
                </c:pt>
                <c:pt idx="77">
                  <c:v>3.2068872746838846E-2</c:v>
                </c:pt>
                <c:pt idx="78">
                  <c:v>1.270857982130472E-2</c:v>
                </c:pt>
                <c:pt idx="79">
                  <c:v>2.7817528184007539E-2</c:v>
                </c:pt>
                <c:pt idx="80">
                  <c:v>6.1554244678122599E-3</c:v>
                </c:pt>
                <c:pt idx="81">
                  <c:v>8.917803871786735E-2</c:v>
                </c:pt>
                <c:pt idx="82">
                  <c:v>3.1872188489702052E-2</c:v>
                </c:pt>
                <c:pt idx="83">
                  <c:v>2.7192854310578708E-2</c:v>
                </c:pt>
                <c:pt idx="84">
                  <c:v>3.3659683294154114E-2</c:v>
                </c:pt>
                <c:pt idx="85">
                  <c:v>5.2325297080541835E-3</c:v>
                </c:pt>
                <c:pt idx="86">
                  <c:v>1.92466318394281E-2</c:v>
                </c:pt>
                <c:pt idx="87">
                  <c:v>3.7888009738283629E-2</c:v>
                </c:pt>
                <c:pt idx="88">
                  <c:v>4.9472535467442708E-2</c:v>
                </c:pt>
                <c:pt idx="89">
                  <c:v>2.7440594423600383E-2</c:v>
                </c:pt>
                <c:pt idx="90">
                  <c:v>5.0059413180585599E-2</c:v>
                </c:pt>
                <c:pt idx="91">
                  <c:v>3.1676645466034103E-2</c:v>
                </c:pt>
                <c:pt idx="92">
                  <c:v>3.9739456543193628E-2</c:v>
                </c:pt>
                <c:pt idx="93">
                  <c:v>3.4397920341658159E-2</c:v>
                </c:pt>
                <c:pt idx="94">
                  <c:v>6.9767441860465115E-2</c:v>
                </c:pt>
                <c:pt idx="95">
                  <c:v>3.9558316686057998E-2</c:v>
                </c:pt>
                <c:pt idx="96">
                  <c:v>2.4923292243096303E-2</c:v>
                </c:pt>
                <c:pt idx="97">
                  <c:v>5.0586723058423516E-2</c:v>
                </c:pt>
                <c:pt idx="98">
                  <c:v>9.5617745959431608E-2</c:v>
                </c:pt>
                <c:pt idx="99">
                  <c:v>6.857494613727301E-2</c:v>
                </c:pt>
                <c:pt idx="100">
                  <c:v>1.6486669797047007E-2</c:v>
                </c:pt>
                <c:pt idx="101">
                  <c:v>5.5509833413741237E-2</c:v>
                </c:pt>
                <c:pt idx="102">
                  <c:v>4.0173926961346598E-2</c:v>
                </c:pt>
                <c:pt idx="103">
                  <c:v>1.2753942236366682E-2</c:v>
                </c:pt>
                <c:pt idx="104">
                  <c:v>2.2340145423612096E-2</c:v>
                </c:pt>
                <c:pt idx="105">
                  <c:v>2.8178963893249608E-2</c:v>
                </c:pt>
                <c:pt idx="106">
                  <c:v>8.6983535259397324E-2</c:v>
                </c:pt>
                <c:pt idx="107">
                  <c:v>0.10769655172413793</c:v>
                </c:pt>
                <c:pt idx="108">
                  <c:v>4.4695249443557634E-2</c:v>
                </c:pt>
                <c:pt idx="109">
                  <c:v>1.5547211792518426E-2</c:v>
                </c:pt>
                <c:pt idx="110">
                  <c:v>8.796947178148223E-3</c:v>
                </c:pt>
                <c:pt idx="111">
                  <c:v>8.5935649761477821E-3</c:v>
                </c:pt>
                <c:pt idx="112">
                  <c:v>0.10813284518828452</c:v>
                </c:pt>
                <c:pt idx="113">
                  <c:v>3.7768958721416807E-2</c:v>
                </c:pt>
                <c:pt idx="114">
                  <c:v>7.1368376698620034E-2</c:v>
                </c:pt>
                <c:pt idx="115">
                  <c:v>0.10145335208626348</c:v>
                </c:pt>
                <c:pt idx="116">
                  <c:v>5.6825396825396828E-2</c:v>
                </c:pt>
                <c:pt idx="117">
                  <c:v>3.6128347485303726E-2</c:v>
                </c:pt>
                <c:pt idx="118">
                  <c:v>0.35493771438887883</c:v>
                </c:pt>
                <c:pt idx="119">
                  <c:v>7.4912891986062713E-2</c:v>
                </c:pt>
                <c:pt idx="120">
                  <c:v>4.1882935398866089E-2</c:v>
                </c:pt>
                <c:pt idx="121">
                  <c:v>9.6529533440588376E-3</c:v>
                </c:pt>
                <c:pt idx="122">
                  <c:v>1.3949994634617447E-2</c:v>
                </c:pt>
                <c:pt idx="123">
                  <c:v>2.0123110902063437E-2</c:v>
                </c:pt>
                <c:pt idx="124">
                  <c:v>1.8724838498267952E-2</c:v>
                </c:pt>
                <c:pt idx="125">
                  <c:v>9.1189226204063001E-2</c:v>
                </c:pt>
                <c:pt idx="126">
                  <c:v>7.0611565565352877E-2</c:v>
                </c:pt>
                <c:pt idx="127">
                  <c:v>1.7172322820482071E-2</c:v>
                </c:pt>
                <c:pt idx="128">
                  <c:v>3.4086456836881288E-2</c:v>
                </c:pt>
                <c:pt idx="129">
                  <c:v>2.8377544725478099E-2</c:v>
                </c:pt>
                <c:pt idx="130">
                  <c:v>0.12807782623280778</c:v>
                </c:pt>
                <c:pt idx="131">
                  <c:v>0.14382530120481929</c:v>
                </c:pt>
                <c:pt idx="132">
                  <c:v>4.9736482529767714E-2</c:v>
                </c:pt>
                <c:pt idx="133">
                  <c:v>1.7367949865711729E-2</c:v>
                </c:pt>
                <c:pt idx="134">
                  <c:v>4.5792859846095622E-2</c:v>
                </c:pt>
                <c:pt idx="135">
                  <c:v>3.1390746553841956E-2</c:v>
                </c:pt>
                <c:pt idx="136">
                  <c:v>6.2798437273911156E-2</c:v>
                </c:pt>
                <c:pt idx="137">
                  <c:v>1.8235319386571587E-2</c:v>
                </c:pt>
                <c:pt idx="138">
                  <c:v>6.7509995411942064E-3</c:v>
                </c:pt>
                <c:pt idx="139">
                  <c:v>3.7650316240940306E-2</c:v>
                </c:pt>
                <c:pt idx="140">
                  <c:v>3.3825246205884993E-2</c:v>
                </c:pt>
                <c:pt idx="141">
                  <c:v>8.4701942727698036E-3</c:v>
                </c:pt>
                <c:pt idx="142">
                  <c:v>3.0595718366265203E-2</c:v>
                </c:pt>
                <c:pt idx="143">
                  <c:v>7.0480769230769236E-2</c:v>
                </c:pt>
                <c:pt idx="144">
                  <c:v>4.6928028086600349E-2</c:v>
                </c:pt>
                <c:pt idx="145">
                  <c:v>6.0905069751616199E-2</c:v>
                </c:pt>
                <c:pt idx="146">
                  <c:v>2.7699984724273131E-2</c:v>
                </c:pt>
                <c:pt idx="147">
                  <c:v>1.6154556244230515E-2</c:v>
                </c:pt>
                <c:pt idx="148">
                  <c:v>1.7359273881720868E-2</c:v>
                </c:pt>
                <c:pt idx="149">
                  <c:v>3.570382663022257E-2</c:v>
                </c:pt>
                <c:pt idx="150">
                  <c:v>0.1565204416592062</c:v>
                </c:pt>
                <c:pt idx="151">
                  <c:v>9.3179404611010239E-3</c:v>
                </c:pt>
                <c:pt idx="152">
                  <c:v>3.9668404520578994E-2</c:v>
                </c:pt>
                <c:pt idx="153">
                  <c:v>9.5998790566418062E-3</c:v>
                </c:pt>
                <c:pt idx="154">
                  <c:v>3.4092416537696221E-2</c:v>
                </c:pt>
                <c:pt idx="155">
                  <c:v>6.2389818119275915E-2</c:v>
                </c:pt>
                <c:pt idx="156">
                  <c:v>6.7039489484338008E-2</c:v>
                </c:pt>
                <c:pt idx="157">
                  <c:v>3.6068077239938115E-2</c:v>
                </c:pt>
                <c:pt idx="158">
                  <c:v>4.5326971653101317E-2</c:v>
                </c:pt>
                <c:pt idx="159">
                  <c:v>4.1213165244172997E-2</c:v>
                </c:pt>
                <c:pt idx="160">
                  <c:v>0.12318316343308122</c:v>
                </c:pt>
                <c:pt idx="161">
                  <c:v>1.3443607101800996E-2</c:v>
                </c:pt>
                <c:pt idx="162">
                  <c:v>8.0917213712618521E-2</c:v>
                </c:pt>
                <c:pt idx="163">
                  <c:v>1.6971754152018428E-2</c:v>
                </c:pt>
                <c:pt idx="164">
                  <c:v>4.5257928170650323E-2</c:v>
                </c:pt>
                <c:pt idx="165">
                  <c:v>1.0085224312892001E-2</c:v>
                </c:pt>
                <c:pt idx="166">
                  <c:v>2.7602915596786216E-2</c:v>
                </c:pt>
              </c:numCache>
            </c:numRef>
          </c:xVal>
          <c:yVal>
            <c:numRef>
              <c:f>Raw_Data!$J$2:$J$168</c:f>
              <c:numCache>
                <c:formatCode>_ [$₹-4009]\ * #,##0.00_ ;_ [$₹-4009]\ * \-#,##0.00_ ;_ [$₹-4009]\ * "-"??_ ;_ @_ </c:formatCode>
                <c:ptCount val="167"/>
                <c:pt idx="0">
                  <c:v>0.76470588235294112</c:v>
                </c:pt>
                <c:pt idx="1">
                  <c:v>0.35</c:v>
                </c:pt>
                <c:pt idx="2">
                  <c:v>0.48717948717948717</c:v>
                </c:pt>
                <c:pt idx="3">
                  <c:v>0.3125</c:v>
                </c:pt>
                <c:pt idx="4">
                  <c:v>0.57599999999999996</c:v>
                </c:pt>
                <c:pt idx="5">
                  <c:v>0.18387096774193548</c:v>
                </c:pt>
                <c:pt idx="6">
                  <c:v>0.50595238095238093</c:v>
                </c:pt>
                <c:pt idx="7">
                  <c:v>0.30592105263157893</c:v>
                </c:pt>
                <c:pt idx="8">
                  <c:v>0.56057866184448468</c:v>
                </c:pt>
                <c:pt idx="9">
                  <c:v>0.26153846153846155</c:v>
                </c:pt>
                <c:pt idx="10">
                  <c:v>0.67105263157894735</c:v>
                </c:pt>
                <c:pt idx="11">
                  <c:v>0.36603773584905658</c:v>
                </c:pt>
                <c:pt idx="12">
                  <c:v>0.55757575757575761</c:v>
                </c:pt>
                <c:pt idx="13">
                  <c:v>0.36206896551724138</c:v>
                </c:pt>
                <c:pt idx="14">
                  <c:v>0.53296703296703296</c:v>
                </c:pt>
                <c:pt idx="15">
                  <c:v>0.32537313432835818</c:v>
                </c:pt>
                <c:pt idx="16">
                  <c:v>0.36827956989247312</c:v>
                </c:pt>
                <c:pt idx="17">
                  <c:v>0.20357142857142857</c:v>
                </c:pt>
                <c:pt idx="18">
                  <c:v>0.43402777777777779</c:v>
                </c:pt>
                <c:pt idx="19">
                  <c:v>0.28518518518518521</c:v>
                </c:pt>
                <c:pt idx="20">
                  <c:v>0.55158730158730163</c:v>
                </c:pt>
                <c:pt idx="21">
                  <c:v>0.32285714285714284</c:v>
                </c:pt>
                <c:pt idx="22">
                  <c:v>1.0750341064120055</c:v>
                </c:pt>
                <c:pt idx="23">
                  <c:v>0.86696832579185523</c:v>
                </c:pt>
                <c:pt idx="24">
                  <c:v>1.2350813743218807</c:v>
                </c:pt>
                <c:pt idx="25">
                  <c:v>0.1532133676092545</c:v>
                </c:pt>
                <c:pt idx="26">
                  <c:v>0.32480141218005298</c:v>
                </c:pt>
                <c:pt idx="27">
                  <c:v>0.49103585657370519</c:v>
                </c:pt>
                <c:pt idx="28">
                  <c:v>0.21836007130124777</c:v>
                </c:pt>
                <c:pt idx="29">
                  <c:v>0.9147286821705426</c:v>
                </c:pt>
                <c:pt idx="30">
                  <c:v>1.3967889908256881</c:v>
                </c:pt>
                <c:pt idx="31">
                  <c:v>0.45674300254452926</c:v>
                </c:pt>
                <c:pt idx="32">
                  <c:v>0.81590413943355122</c:v>
                </c:pt>
                <c:pt idx="33">
                  <c:v>0.32650862068965519</c:v>
                </c:pt>
                <c:pt idx="34">
                  <c:v>1.976038338658147</c:v>
                </c:pt>
                <c:pt idx="35">
                  <c:v>1.8550106609808101</c:v>
                </c:pt>
                <c:pt idx="36">
                  <c:v>1.1148804934464147</c:v>
                </c:pt>
                <c:pt idx="37">
                  <c:v>1.431340872374798</c:v>
                </c:pt>
                <c:pt idx="38">
                  <c:v>5.5488721804511281</c:v>
                </c:pt>
                <c:pt idx="39">
                  <c:v>0.4265129682997118</c:v>
                </c:pt>
                <c:pt idx="40">
                  <c:v>0.7831762146482959</c:v>
                </c:pt>
                <c:pt idx="41">
                  <c:v>1.3794117647058823</c:v>
                </c:pt>
                <c:pt idx="42">
                  <c:v>1.0986301369863014</c:v>
                </c:pt>
                <c:pt idx="43">
                  <c:v>1.6461267605633803</c:v>
                </c:pt>
                <c:pt idx="44">
                  <c:v>0.96282527881040891</c:v>
                </c:pt>
                <c:pt idx="45">
                  <c:v>1.5079617834394905</c:v>
                </c:pt>
                <c:pt idx="46">
                  <c:v>3.5603112840466924</c:v>
                </c:pt>
                <c:pt idx="47">
                  <c:v>0.45438282647584971</c:v>
                </c:pt>
                <c:pt idx="48">
                  <c:v>1.4436274509803921</c:v>
                </c:pt>
                <c:pt idx="49">
                  <c:v>0.89184060721062619</c:v>
                </c:pt>
                <c:pt idx="50">
                  <c:v>0.42105263157894735</c:v>
                </c:pt>
                <c:pt idx="51">
                  <c:v>0.91081081081081083</c:v>
                </c:pt>
                <c:pt idx="52">
                  <c:v>0.80528511821974968</c:v>
                </c:pt>
                <c:pt idx="53">
                  <c:v>1.0142428785607196</c:v>
                </c:pt>
                <c:pt idx="54">
                  <c:v>0.26803069053708439</c:v>
                </c:pt>
                <c:pt idx="55">
                  <c:v>0.92544196771714071</c:v>
                </c:pt>
                <c:pt idx="56">
                  <c:v>0.44156706507304117</c:v>
                </c:pt>
                <c:pt idx="57">
                  <c:v>0.20867768595041322</c:v>
                </c:pt>
                <c:pt idx="58">
                  <c:v>1.2557154953429297</c:v>
                </c:pt>
                <c:pt idx="59">
                  <c:v>0.39472322814278321</c:v>
                </c:pt>
                <c:pt idx="60">
                  <c:v>0.57993474714518756</c:v>
                </c:pt>
                <c:pt idx="61">
                  <c:v>1.6828358208955223</c:v>
                </c:pt>
                <c:pt idx="62">
                  <c:v>1.0989399293286219</c:v>
                </c:pt>
                <c:pt idx="63">
                  <c:v>1.8835341365461848</c:v>
                </c:pt>
                <c:pt idx="64">
                  <c:v>1.9776785714285714</c:v>
                </c:pt>
                <c:pt idx="65">
                  <c:v>2.8934010152284264</c:v>
                </c:pt>
                <c:pt idx="66">
                  <c:v>0.8741721854304636</c:v>
                </c:pt>
                <c:pt idx="67">
                  <c:v>0.32692307692307693</c:v>
                </c:pt>
                <c:pt idx="68">
                  <c:v>0.6333333333333333</c:v>
                </c:pt>
                <c:pt idx="69">
                  <c:v>0.76438356164383559</c:v>
                </c:pt>
                <c:pt idx="70">
                  <c:v>0.25637065637065637</c:v>
                </c:pt>
                <c:pt idx="71">
                  <c:v>3.6515580736543911</c:v>
                </c:pt>
                <c:pt idx="72">
                  <c:v>0.95300621976503108</c:v>
                </c:pt>
                <c:pt idx="73">
                  <c:v>0.40802501302761857</c:v>
                </c:pt>
                <c:pt idx="74">
                  <c:v>0.31095123900879296</c:v>
                </c:pt>
                <c:pt idx="75">
                  <c:v>0.53484959647835661</c:v>
                </c:pt>
                <c:pt idx="76">
                  <c:v>1.5114213197969544</c:v>
                </c:pt>
                <c:pt idx="77">
                  <c:v>0.98741610738255037</c:v>
                </c:pt>
                <c:pt idx="78">
                  <c:v>1.8346709470304976</c:v>
                </c:pt>
                <c:pt idx="79">
                  <c:v>1.1731493099121706</c:v>
                </c:pt>
                <c:pt idx="80">
                  <c:v>2.4886363636363638</c:v>
                </c:pt>
                <c:pt idx="81">
                  <c:v>0.59684799186578541</c:v>
                </c:pt>
                <c:pt idx="82">
                  <c:v>0.939873417721519</c:v>
                </c:pt>
                <c:pt idx="83">
                  <c:v>0.63852647735993862</c:v>
                </c:pt>
                <c:pt idx="84">
                  <c:v>0.39984650805832694</c:v>
                </c:pt>
                <c:pt idx="85">
                  <c:v>4.7149532710280377</c:v>
                </c:pt>
                <c:pt idx="86">
                  <c:v>0.22197802197802197</c:v>
                </c:pt>
                <c:pt idx="87">
                  <c:v>0.45140562248995986</c:v>
                </c:pt>
                <c:pt idx="88">
                  <c:v>0.57107843137254899</c:v>
                </c:pt>
                <c:pt idx="89">
                  <c:v>0.76809651474530827</c:v>
                </c:pt>
                <c:pt idx="90">
                  <c:v>0.17589774802191113</c:v>
                </c:pt>
                <c:pt idx="91">
                  <c:v>0.80640941792020926</c:v>
                </c:pt>
                <c:pt idx="92">
                  <c:v>0.18487858719646799</c:v>
                </c:pt>
                <c:pt idx="93">
                  <c:v>0.93454790823211875</c:v>
                </c:pt>
                <c:pt idx="94">
                  <c:v>0.48301886792452831</c:v>
                </c:pt>
                <c:pt idx="95">
                  <c:v>0.25804661487236402</c:v>
                </c:pt>
                <c:pt idx="96">
                  <c:v>1.2721382289416847</c:v>
                </c:pt>
                <c:pt idx="97">
                  <c:v>0.7680327868852459</c:v>
                </c:pt>
                <c:pt idx="98">
                  <c:v>0.63017583664208732</c:v>
                </c:pt>
                <c:pt idx="99">
                  <c:v>0.62208258527827653</c:v>
                </c:pt>
                <c:pt idx="100">
                  <c:v>0.84968354430379744</c:v>
                </c:pt>
                <c:pt idx="101">
                  <c:v>0.3885480572597137</c:v>
                </c:pt>
                <c:pt idx="102">
                  <c:v>0.19787516600265603</c:v>
                </c:pt>
                <c:pt idx="103">
                  <c:v>0.44652908067542213</c:v>
                </c:pt>
                <c:pt idx="104">
                  <c:v>1.2574796010879419</c:v>
                </c:pt>
                <c:pt idx="105">
                  <c:v>1.6922005571030641</c:v>
                </c:pt>
                <c:pt idx="106">
                  <c:v>0.71011904761904765</c:v>
                </c:pt>
                <c:pt idx="107">
                  <c:v>0.61526639344262291</c:v>
                </c:pt>
                <c:pt idx="108">
                  <c:v>0.72283702213279677</c:v>
                </c:pt>
                <c:pt idx="109">
                  <c:v>1.0983899821109124</c:v>
                </c:pt>
                <c:pt idx="110">
                  <c:v>1.7374429223744292</c:v>
                </c:pt>
                <c:pt idx="111">
                  <c:v>2.8818897637795278</c:v>
                </c:pt>
                <c:pt idx="112">
                  <c:v>0.43047158403869407</c:v>
                </c:pt>
                <c:pt idx="113">
                  <c:v>0.15296640457469621</c:v>
                </c:pt>
                <c:pt idx="114">
                  <c:v>0.98450184501845017</c:v>
                </c:pt>
                <c:pt idx="115">
                  <c:v>1.3419593345656193</c:v>
                </c:pt>
                <c:pt idx="116">
                  <c:v>0.85963687150837986</c:v>
                </c:pt>
                <c:pt idx="117">
                  <c:v>0.72994350282485876</c:v>
                </c:pt>
                <c:pt idx="118">
                  <c:v>0.71464903357070197</c:v>
                </c:pt>
                <c:pt idx="119">
                  <c:v>0.30888491353607633</c:v>
                </c:pt>
                <c:pt idx="120">
                  <c:v>1.2535748331744518</c:v>
                </c:pt>
                <c:pt idx="121">
                  <c:v>2.6785714285714284</c:v>
                </c:pt>
                <c:pt idx="122">
                  <c:v>1.9846153846153847</c:v>
                </c:pt>
                <c:pt idx="123">
                  <c:v>0.21747967479674796</c:v>
                </c:pt>
                <c:pt idx="124">
                  <c:v>1.0287500000000001</c:v>
                </c:pt>
                <c:pt idx="125">
                  <c:v>0.52941176470588236</c:v>
                </c:pt>
                <c:pt idx="126">
                  <c:v>0.28535606820461384</c:v>
                </c:pt>
                <c:pt idx="127">
                  <c:v>1.5558659217877095</c:v>
                </c:pt>
                <c:pt idx="128">
                  <c:v>0.74521072796934862</c:v>
                </c:pt>
                <c:pt idx="129">
                  <c:v>0.76505016722408026</c:v>
                </c:pt>
                <c:pt idx="130">
                  <c:v>0.63645887899423781</c:v>
                </c:pt>
                <c:pt idx="131">
                  <c:v>1.2952879581151833</c:v>
                </c:pt>
                <c:pt idx="132">
                  <c:v>0.20957613814756673</c:v>
                </c:pt>
                <c:pt idx="133">
                  <c:v>1.4239690721649485</c:v>
                </c:pt>
                <c:pt idx="134">
                  <c:v>3.4765840220385673</c:v>
                </c:pt>
                <c:pt idx="135">
                  <c:v>2.1565217391304348</c:v>
                </c:pt>
                <c:pt idx="136">
                  <c:v>0.72811059907834097</c:v>
                </c:pt>
                <c:pt idx="137">
                  <c:v>1.0376914016489989</c:v>
                </c:pt>
                <c:pt idx="138">
                  <c:v>0.87378640776699024</c:v>
                </c:pt>
                <c:pt idx="139">
                  <c:v>0.78658976207642395</c:v>
                </c:pt>
                <c:pt idx="140">
                  <c:v>1.0805309734513275</c:v>
                </c:pt>
                <c:pt idx="141">
                  <c:v>4.2936046511627906</c:v>
                </c:pt>
                <c:pt idx="142">
                  <c:v>1.3474494706448508</c:v>
                </c:pt>
                <c:pt idx="143">
                  <c:v>1.1268758526603002</c:v>
                </c:pt>
                <c:pt idx="144">
                  <c:v>1.0660847880299251</c:v>
                </c:pt>
                <c:pt idx="145">
                  <c:v>0.37350359138068634</c:v>
                </c:pt>
                <c:pt idx="146">
                  <c:v>1.197610294117647</c:v>
                </c:pt>
                <c:pt idx="147">
                  <c:v>2.8183673469387753</c:v>
                </c:pt>
                <c:pt idx="148">
                  <c:v>0.27667057444314186</c:v>
                </c:pt>
                <c:pt idx="149">
                  <c:v>0.22214627477785373</c:v>
                </c:pt>
                <c:pt idx="150">
                  <c:v>0.19256434699714015</c:v>
                </c:pt>
                <c:pt idx="151">
                  <c:v>2.3272058823529411</c:v>
                </c:pt>
                <c:pt idx="152">
                  <c:v>0.68571428571428572</c:v>
                </c:pt>
                <c:pt idx="153">
                  <c:v>1.2493438320209973</c:v>
                </c:pt>
                <c:pt idx="154">
                  <c:v>0.65239948119325553</c:v>
                </c:pt>
                <c:pt idx="155">
                  <c:v>0.43349414197105446</c:v>
                </c:pt>
                <c:pt idx="156">
                  <c:v>0.52047082906857722</c:v>
                </c:pt>
                <c:pt idx="157">
                  <c:v>0.65459610027855153</c:v>
                </c:pt>
                <c:pt idx="158">
                  <c:v>0.72291021671826627</c:v>
                </c:pt>
                <c:pt idx="159">
                  <c:v>0.44458518049398354</c:v>
                </c:pt>
                <c:pt idx="160">
                  <c:v>0.74906567004805125</c:v>
                </c:pt>
                <c:pt idx="161">
                  <c:v>3.3800475059382422</c:v>
                </c:pt>
                <c:pt idx="162">
                  <c:v>0.77746478873239433</c:v>
                </c:pt>
                <c:pt idx="163">
                  <c:v>1.6333333333333333</c:v>
                </c:pt>
                <c:pt idx="164">
                  <c:v>0.69470234844347356</c:v>
                </c:pt>
                <c:pt idx="165">
                  <c:v>2.3202479338842976</c:v>
                </c:pt>
                <c:pt idx="166">
                  <c:v>0.90322580645161288</c:v>
                </c:pt>
              </c:numCache>
            </c:numRef>
          </c:yVal>
          <c:smooth val="0"/>
          <c:extLst>
            <c:ext xmlns:c16="http://schemas.microsoft.com/office/drawing/2014/chart" uri="{C3380CC4-5D6E-409C-BE32-E72D297353CC}">
              <c16:uniqueId val="{00000000-6BC8-451E-A4AD-93FE5937CA45}"/>
            </c:ext>
          </c:extLst>
        </c:ser>
        <c:ser>
          <c:idx val="0"/>
          <c:order val="1"/>
          <c:tx>
            <c:strRef>
              <c:f>Raw_Data!$J$1</c:f>
              <c:strCache>
                <c:ptCount val="1"/>
                <c:pt idx="0">
                  <c:v>CPC</c:v>
                </c:pt>
              </c:strCache>
            </c:strRef>
          </c:tx>
          <c:spPr>
            <a:ln w="25400" cap="rnd">
              <a:noFill/>
              <a:round/>
            </a:ln>
            <a:effectLst/>
          </c:spPr>
          <c:marker>
            <c:symbol val="circle"/>
            <c:size val="5"/>
            <c:spPr>
              <a:solidFill>
                <a:schemeClr val="accent1"/>
              </a:solidFill>
              <a:ln w="9525">
                <a:solidFill>
                  <a:schemeClr val="accent1"/>
                </a:solidFill>
              </a:ln>
              <a:effectLst/>
            </c:spPr>
          </c:marker>
          <c:xVal>
            <c:numRef>
              <c:f>Raw_Data!$I$2:$I$168</c:f>
              <c:numCache>
                <c:formatCode>0%</c:formatCode>
                <c:ptCount val="167"/>
                <c:pt idx="0">
                  <c:v>5.6666666666666664E-2</c:v>
                </c:pt>
                <c:pt idx="1">
                  <c:v>4.8000000000000001E-2</c:v>
                </c:pt>
                <c:pt idx="2">
                  <c:v>2.2285714285714287E-2</c:v>
                </c:pt>
                <c:pt idx="3">
                  <c:v>0.04</c:v>
                </c:pt>
                <c:pt idx="4">
                  <c:v>4.4642857142857144E-2</c:v>
                </c:pt>
                <c:pt idx="5">
                  <c:v>0.05</c:v>
                </c:pt>
                <c:pt idx="6">
                  <c:v>0.04</c:v>
                </c:pt>
                <c:pt idx="7">
                  <c:v>0.04</c:v>
                </c:pt>
                <c:pt idx="8">
                  <c:v>6.1444444444444447E-2</c:v>
                </c:pt>
                <c:pt idx="9">
                  <c:v>0.05</c:v>
                </c:pt>
                <c:pt idx="10">
                  <c:v>0.04</c:v>
                </c:pt>
                <c:pt idx="11">
                  <c:v>0.05</c:v>
                </c:pt>
                <c:pt idx="12">
                  <c:v>3.6666666666666667E-2</c:v>
                </c:pt>
                <c:pt idx="13">
                  <c:v>0.05</c:v>
                </c:pt>
                <c:pt idx="14">
                  <c:v>0.05</c:v>
                </c:pt>
                <c:pt idx="15">
                  <c:v>0.05</c:v>
                </c:pt>
                <c:pt idx="16">
                  <c:v>4.4285714285714282E-2</c:v>
                </c:pt>
                <c:pt idx="17">
                  <c:v>0.05</c:v>
                </c:pt>
                <c:pt idx="18">
                  <c:v>3.7894736842105266E-2</c:v>
                </c:pt>
                <c:pt idx="19">
                  <c:v>0.06</c:v>
                </c:pt>
                <c:pt idx="20">
                  <c:v>3.9375E-2</c:v>
                </c:pt>
                <c:pt idx="21">
                  <c:v>0.05</c:v>
                </c:pt>
                <c:pt idx="22">
                  <c:v>0.11754329698524696</c:v>
                </c:pt>
                <c:pt idx="23">
                  <c:v>2.4701017100704145E-2</c:v>
                </c:pt>
                <c:pt idx="24">
                  <c:v>1.2095892208758039E-2</c:v>
                </c:pt>
                <c:pt idx="25">
                  <c:v>0.20151263986738499</c:v>
                </c:pt>
                <c:pt idx="26">
                  <c:v>3.4213069211257399E-2</c:v>
                </c:pt>
                <c:pt idx="27">
                  <c:v>4.804517394841365E-2</c:v>
                </c:pt>
                <c:pt idx="28">
                  <c:v>2.6349161617584896E-2</c:v>
                </c:pt>
                <c:pt idx="29">
                  <c:v>4.8123554428113106E-2</c:v>
                </c:pt>
                <c:pt idx="30">
                  <c:v>0.1280657952709649</c:v>
                </c:pt>
                <c:pt idx="31">
                  <c:v>1.9835461565638722E-2</c:v>
                </c:pt>
                <c:pt idx="32">
                  <c:v>9.5159116823883075E-2</c:v>
                </c:pt>
                <c:pt idx="33">
                  <c:v>3.1985661599972424E-2</c:v>
                </c:pt>
                <c:pt idx="34">
                  <c:v>1.5374036052851319E-2</c:v>
                </c:pt>
                <c:pt idx="35">
                  <c:v>5.6100478468899519E-2</c:v>
                </c:pt>
                <c:pt idx="36">
                  <c:v>6.4328935621466118E-2</c:v>
                </c:pt>
                <c:pt idx="37">
                  <c:v>5.6048533140166605E-2</c:v>
                </c:pt>
                <c:pt idx="38">
                  <c:v>9.7200906234013017E-3</c:v>
                </c:pt>
                <c:pt idx="39">
                  <c:v>3.8943257317292153E-2</c:v>
                </c:pt>
                <c:pt idx="40">
                  <c:v>0.10931430836305984</c:v>
                </c:pt>
                <c:pt idx="41">
                  <c:v>1.4337824445990681E-2</c:v>
                </c:pt>
                <c:pt idx="42">
                  <c:v>4.7875131164742915E-2</c:v>
                </c:pt>
                <c:pt idx="43">
                  <c:v>3.386798640510405E-2</c:v>
                </c:pt>
                <c:pt idx="44">
                  <c:v>8.5980949945662598E-3</c:v>
                </c:pt>
                <c:pt idx="45">
                  <c:v>5.019582767164895E-2</c:v>
                </c:pt>
                <c:pt idx="46">
                  <c:v>5.9518295507179249E-3</c:v>
                </c:pt>
                <c:pt idx="47">
                  <c:v>0.28656869446343131</c:v>
                </c:pt>
                <c:pt idx="48">
                  <c:v>1.3744778331761218E-2</c:v>
                </c:pt>
                <c:pt idx="49">
                  <c:v>1.377597699647105E-2</c:v>
                </c:pt>
                <c:pt idx="50">
                  <c:v>4.7211252606824336E-2</c:v>
                </c:pt>
                <c:pt idx="51">
                  <c:v>8.3833692081114755E-2</c:v>
                </c:pt>
                <c:pt idx="52">
                  <c:v>1.516429746488379E-2</c:v>
                </c:pt>
                <c:pt idx="53">
                  <c:v>5.5632011343258687E-2</c:v>
                </c:pt>
                <c:pt idx="54">
                  <c:v>0.13226439347811381</c:v>
                </c:pt>
                <c:pt idx="55">
                  <c:v>2.6620015141284554E-2</c:v>
                </c:pt>
                <c:pt idx="56">
                  <c:v>4.880103694102398E-2</c:v>
                </c:pt>
                <c:pt idx="57">
                  <c:v>0.12595966167859465</c:v>
                </c:pt>
                <c:pt idx="58">
                  <c:v>2.5920154511335954E-2</c:v>
                </c:pt>
                <c:pt idx="59">
                  <c:v>4.9103287100543618E-2</c:v>
                </c:pt>
                <c:pt idx="60">
                  <c:v>0.12334004024144869</c:v>
                </c:pt>
                <c:pt idx="61">
                  <c:v>1.781362165994594E-2</c:v>
                </c:pt>
                <c:pt idx="62">
                  <c:v>6.0625535561268207E-2</c:v>
                </c:pt>
                <c:pt idx="63">
                  <c:v>3.2191338073691012E-2</c:v>
                </c:pt>
                <c:pt idx="64">
                  <c:v>2.8112449799196786E-2</c:v>
                </c:pt>
                <c:pt idx="65">
                  <c:v>4.4120940649496079E-2</c:v>
                </c:pt>
                <c:pt idx="66">
                  <c:v>1.2794080266613946E-2</c:v>
                </c:pt>
                <c:pt idx="67">
                  <c:v>6.2296173044925122E-2</c:v>
                </c:pt>
                <c:pt idx="68">
                  <c:v>5.2102579262434411E-2</c:v>
                </c:pt>
                <c:pt idx="69">
                  <c:v>0.18668166939443534</c:v>
                </c:pt>
                <c:pt idx="70">
                  <c:v>4.5043478260869567E-2</c:v>
                </c:pt>
                <c:pt idx="71">
                  <c:v>1.2642360862402406E-2</c:v>
                </c:pt>
                <c:pt idx="72">
                  <c:v>3.2486192806789098E-2</c:v>
                </c:pt>
                <c:pt idx="73">
                  <c:v>8.5292679674652205E-2</c:v>
                </c:pt>
                <c:pt idx="74">
                  <c:v>2.7888623849120539E-2</c:v>
                </c:pt>
                <c:pt idx="75">
                  <c:v>5.0481481481481481E-2</c:v>
                </c:pt>
                <c:pt idx="76">
                  <c:v>2.7280595464774106E-2</c:v>
                </c:pt>
                <c:pt idx="77">
                  <c:v>3.2068872746838846E-2</c:v>
                </c:pt>
                <c:pt idx="78">
                  <c:v>1.270857982130472E-2</c:v>
                </c:pt>
                <c:pt idx="79">
                  <c:v>2.7817528184007539E-2</c:v>
                </c:pt>
                <c:pt idx="80">
                  <c:v>6.1554244678122599E-3</c:v>
                </c:pt>
                <c:pt idx="81">
                  <c:v>8.917803871786735E-2</c:v>
                </c:pt>
                <c:pt idx="82">
                  <c:v>3.1872188489702052E-2</c:v>
                </c:pt>
                <c:pt idx="83">
                  <c:v>2.7192854310578708E-2</c:v>
                </c:pt>
                <c:pt idx="84">
                  <c:v>3.3659683294154114E-2</c:v>
                </c:pt>
                <c:pt idx="85">
                  <c:v>5.2325297080541835E-3</c:v>
                </c:pt>
                <c:pt idx="86">
                  <c:v>1.92466318394281E-2</c:v>
                </c:pt>
                <c:pt idx="87">
                  <c:v>3.7888009738283629E-2</c:v>
                </c:pt>
                <c:pt idx="88">
                  <c:v>4.9472535467442708E-2</c:v>
                </c:pt>
                <c:pt idx="89">
                  <c:v>2.7440594423600383E-2</c:v>
                </c:pt>
                <c:pt idx="90">
                  <c:v>5.0059413180585599E-2</c:v>
                </c:pt>
                <c:pt idx="91">
                  <c:v>3.1676645466034103E-2</c:v>
                </c:pt>
                <c:pt idx="92">
                  <c:v>3.9739456543193628E-2</c:v>
                </c:pt>
                <c:pt idx="93">
                  <c:v>3.4397920341658159E-2</c:v>
                </c:pt>
                <c:pt idx="94">
                  <c:v>6.9767441860465115E-2</c:v>
                </c:pt>
                <c:pt idx="95">
                  <c:v>3.9558316686057998E-2</c:v>
                </c:pt>
                <c:pt idx="96">
                  <c:v>2.4923292243096303E-2</c:v>
                </c:pt>
                <c:pt idx="97">
                  <c:v>5.0586723058423516E-2</c:v>
                </c:pt>
                <c:pt idx="98">
                  <c:v>9.5617745959431608E-2</c:v>
                </c:pt>
                <c:pt idx="99">
                  <c:v>6.857494613727301E-2</c:v>
                </c:pt>
                <c:pt idx="100">
                  <c:v>1.6486669797047007E-2</c:v>
                </c:pt>
                <c:pt idx="101">
                  <c:v>5.5509833413741237E-2</c:v>
                </c:pt>
                <c:pt idx="102">
                  <c:v>4.0173926961346598E-2</c:v>
                </c:pt>
                <c:pt idx="103">
                  <c:v>1.2753942236366682E-2</c:v>
                </c:pt>
                <c:pt idx="104">
                  <c:v>2.2340145423612096E-2</c:v>
                </c:pt>
                <c:pt idx="105">
                  <c:v>2.8178963893249608E-2</c:v>
                </c:pt>
                <c:pt idx="106">
                  <c:v>8.6983535259397324E-2</c:v>
                </c:pt>
                <c:pt idx="107">
                  <c:v>0.10769655172413793</c:v>
                </c:pt>
                <c:pt idx="108">
                  <c:v>4.4695249443557634E-2</c:v>
                </c:pt>
                <c:pt idx="109">
                  <c:v>1.5547211792518426E-2</c:v>
                </c:pt>
                <c:pt idx="110">
                  <c:v>8.796947178148223E-3</c:v>
                </c:pt>
                <c:pt idx="111">
                  <c:v>8.5935649761477821E-3</c:v>
                </c:pt>
                <c:pt idx="112">
                  <c:v>0.10813284518828452</c:v>
                </c:pt>
                <c:pt idx="113">
                  <c:v>3.7768958721416807E-2</c:v>
                </c:pt>
                <c:pt idx="114">
                  <c:v>7.1368376698620034E-2</c:v>
                </c:pt>
                <c:pt idx="115">
                  <c:v>0.10145335208626348</c:v>
                </c:pt>
                <c:pt idx="116">
                  <c:v>5.6825396825396828E-2</c:v>
                </c:pt>
                <c:pt idx="117">
                  <c:v>3.6128347485303726E-2</c:v>
                </c:pt>
                <c:pt idx="118">
                  <c:v>0.35493771438887883</c:v>
                </c:pt>
                <c:pt idx="119">
                  <c:v>7.4912891986062713E-2</c:v>
                </c:pt>
                <c:pt idx="120">
                  <c:v>4.1882935398866089E-2</c:v>
                </c:pt>
                <c:pt idx="121">
                  <c:v>9.6529533440588376E-3</c:v>
                </c:pt>
                <c:pt idx="122">
                  <c:v>1.3949994634617447E-2</c:v>
                </c:pt>
                <c:pt idx="123">
                  <c:v>2.0123110902063437E-2</c:v>
                </c:pt>
                <c:pt idx="124">
                  <c:v>1.8724838498267952E-2</c:v>
                </c:pt>
                <c:pt idx="125">
                  <c:v>9.1189226204063001E-2</c:v>
                </c:pt>
                <c:pt idx="126">
                  <c:v>7.0611565565352877E-2</c:v>
                </c:pt>
                <c:pt idx="127">
                  <c:v>1.7172322820482071E-2</c:v>
                </c:pt>
                <c:pt idx="128">
                  <c:v>3.4086456836881288E-2</c:v>
                </c:pt>
                <c:pt idx="129">
                  <c:v>2.8377544725478099E-2</c:v>
                </c:pt>
                <c:pt idx="130">
                  <c:v>0.12807782623280778</c:v>
                </c:pt>
                <c:pt idx="131">
                  <c:v>0.14382530120481929</c:v>
                </c:pt>
                <c:pt idx="132">
                  <c:v>4.9736482529767714E-2</c:v>
                </c:pt>
                <c:pt idx="133">
                  <c:v>1.7367949865711729E-2</c:v>
                </c:pt>
                <c:pt idx="134">
                  <c:v>4.5792859846095622E-2</c:v>
                </c:pt>
                <c:pt idx="135">
                  <c:v>3.1390746553841956E-2</c:v>
                </c:pt>
                <c:pt idx="136">
                  <c:v>6.2798437273911156E-2</c:v>
                </c:pt>
                <c:pt idx="137">
                  <c:v>1.8235319386571587E-2</c:v>
                </c:pt>
                <c:pt idx="138">
                  <c:v>6.7509995411942064E-3</c:v>
                </c:pt>
                <c:pt idx="139">
                  <c:v>3.7650316240940306E-2</c:v>
                </c:pt>
                <c:pt idx="140">
                  <c:v>3.3825246205884993E-2</c:v>
                </c:pt>
                <c:pt idx="141">
                  <c:v>8.4701942727698036E-3</c:v>
                </c:pt>
                <c:pt idx="142">
                  <c:v>3.0595718366265203E-2</c:v>
                </c:pt>
                <c:pt idx="143">
                  <c:v>7.0480769230769236E-2</c:v>
                </c:pt>
                <c:pt idx="144">
                  <c:v>4.6928028086600349E-2</c:v>
                </c:pt>
                <c:pt idx="145">
                  <c:v>6.0905069751616199E-2</c:v>
                </c:pt>
                <c:pt idx="146">
                  <c:v>2.7699984724273131E-2</c:v>
                </c:pt>
                <c:pt idx="147">
                  <c:v>1.6154556244230515E-2</c:v>
                </c:pt>
                <c:pt idx="148">
                  <c:v>1.7359273881720868E-2</c:v>
                </c:pt>
                <c:pt idx="149">
                  <c:v>3.570382663022257E-2</c:v>
                </c:pt>
                <c:pt idx="150">
                  <c:v>0.1565204416592062</c:v>
                </c:pt>
                <c:pt idx="151">
                  <c:v>9.3179404611010239E-3</c:v>
                </c:pt>
                <c:pt idx="152">
                  <c:v>3.9668404520578994E-2</c:v>
                </c:pt>
                <c:pt idx="153">
                  <c:v>9.5998790566418062E-3</c:v>
                </c:pt>
                <c:pt idx="154">
                  <c:v>3.4092416537696221E-2</c:v>
                </c:pt>
                <c:pt idx="155">
                  <c:v>6.2389818119275915E-2</c:v>
                </c:pt>
                <c:pt idx="156">
                  <c:v>6.7039489484338008E-2</c:v>
                </c:pt>
                <c:pt idx="157">
                  <c:v>3.6068077239938115E-2</c:v>
                </c:pt>
                <c:pt idx="158">
                  <c:v>4.5326971653101317E-2</c:v>
                </c:pt>
                <c:pt idx="159">
                  <c:v>4.1213165244172997E-2</c:v>
                </c:pt>
                <c:pt idx="160">
                  <c:v>0.12318316343308122</c:v>
                </c:pt>
                <c:pt idx="161">
                  <c:v>1.3443607101800996E-2</c:v>
                </c:pt>
                <c:pt idx="162">
                  <c:v>8.0917213712618521E-2</c:v>
                </c:pt>
                <c:pt idx="163">
                  <c:v>1.6971754152018428E-2</c:v>
                </c:pt>
                <c:pt idx="164">
                  <c:v>4.5257928170650323E-2</c:v>
                </c:pt>
                <c:pt idx="165">
                  <c:v>1.0085224312892001E-2</c:v>
                </c:pt>
                <c:pt idx="166">
                  <c:v>2.7602915596786216E-2</c:v>
                </c:pt>
              </c:numCache>
            </c:numRef>
          </c:xVal>
          <c:yVal>
            <c:numRef>
              <c:f>Raw_Data!$J$2:$J$168</c:f>
              <c:numCache>
                <c:formatCode>_ [$₹-4009]\ * #,##0.00_ ;_ [$₹-4009]\ * \-#,##0.00_ ;_ [$₹-4009]\ * "-"??_ ;_ @_ </c:formatCode>
                <c:ptCount val="167"/>
                <c:pt idx="0">
                  <c:v>0.76470588235294112</c:v>
                </c:pt>
                <c:pt idx="1">
                  <c:v>0.35</c:v>
                </c:pt>
                <c:pt idx="2">
                  <c:v>0.48717948717948717</c:v>
                </c:pt>
                <c:pt idx="3">
                  <c:v>0.3125</c:v>
                </c:pt>
                <c:pt idx="4">
                  <c:v>0.57599999999999996</c:v>
                </c:pt>
                <c:pt idx="5">
                  <c:v>0.18387096774193548</c:v>
                </c:pt>
                <c:pt idx="6">
                  <c:v>0.50595238095238093</c:v>
                </c:pt>
                <c:pt idx="7">
                  <c:v>0.30592105263157893</c:v>
                </c:pt>
                <c:pt idx="8">
                  <c:v>0.56057866184448468</c:v>
                </c:pt>
                <c:pt idx="9">
                  <c:v>0.26153846153846155</c:v>
                </c:pt>
                <c:pt idx="10">
                  <c:v>0.67105263157894735</c:v>
                </c:pt>
                <c:pt idx="11">
                  <c:v>0.36603773584905658</c:v>
                </c:pt>
                <c:pt idx="12">
                  <c:v>0.55757575757575761</c:v>
                </c:pt>
                <c:pt idx="13">
                  <c:v>0.36206896551724138</c:v>
                </c:pt>
                <c:pt idx="14">
                  <c:v>0.53296703296703296</c:v>
                </c:pt>
                <c:pt idx="15">
                  <c:v>0.32537313432835818</c:v>
                </c:pt>
                <c:pt idx="16">
                  <c:v>0.36827956989247312</c:v>
                </c:pt>
                <c:pt idx="17">
                  <c:v>0.20357142857142857</c:v>
                </c:pt>
                <c:pt idx="18">
                  <c:v>0.43402777777777779</c:v>
                </c:pt>
                <c:pt idx="19">
                  <c:v>0.28518518518518521</c:v>
                </c:pt>
                <c:pt idx="20">
                  <c:v>0.55158730158730163</c:v>
                </c:pt>
                <c:pt idx="21">
                  <c:v>0.32285714285714284</c:v>
                </c:pt>
                <c:pt idx="22">
                  <c:v>1.0750341064120055</c:v>
                </c:pt>
                <c:pt idx="23">
                  <c:v>0.86696832579185523</c:v>
                </c:pt>
                <c:pt idx="24">
                  <c:v>1.2350813743218807</c:v>
                </c:pt>
                <c:pt idx="25">
                  <c:v>0.1532133676092545</c:v>
                </c:pt>
                <c:pt idx="26">
                  <c:v>0.32480141218005298</c:v>
                </c:pt>
                <c:pt idx="27">
                  <c:v>0.49103585657370519</c:v>
                </c:pt>
                <c:pt idx="28">
                  <c:v>0.21836007130124777</c:v>
                </c:pt>
                <c:pt idx="29">
                  <c:v>0.9147286821705426</c:v>
                </c:pt>
                <c:pt idx="30">
                  <c:v>1.3967889908256881</c:v>
                </c:pt>
                <c:pt idx="31">
                  <c:v>0.45674300254452926</c:v>
                </c:pt>
                <c:pt idx="32">
                  <c:v>0.81590413943355122</c:v>
                </c:pt>
                <c:pt idx="33">
                  <c:v>0.32650862068965519</c:v>
                </c:pt>
                <c:pt idx="34">
                  <c:v>1.976038338658147</c:v>
                </c:pt>
                <c:pt idx="35">
                  <c:v>1.8550106609808101</c:v>
                </c:pt>
                <c:pt idx="36">
                  <c:v>1.1148804934464147</c:v>
                </c:pt>
                <c:pt idx="37">
                  <c:v>1.431340872374798</c:v>
                </c:pt>
                <c:pt idx="38">
                  <c:v>5.5488721804511281</c:v>
                </c:pt>
                <c:pt idx="39">
                  <c:v>0.4265129682997118</c:v>
                </c:pt>
                <c:pt idx="40">
                  <c:v>0.7831762146482959</c:v>
                </c:pt>
                <c:pt idx="41">
                  <c:v>1.3794117647058823</c:v>
                </c:pt>
                <c:pt idx="42">
                  <c:v>1.0986301369863014</c:v>
                </c:pt>
                <c:pt idx="43">
                  <c:v>1.6461267605633803</c:v>
                </c:pt>
                <c:pt idx="44">
                  <c:v>0.96282527881040891</c:v>
                </c:pt>
                <c:pt idx="45">
                  <c:v>1.5079617834394905</c:v>
                </c:pt>
                <c:pt idx="46">
                  <c:v>3.5603112840466924</c:v>
                </c:pt>
                <c:pt idx="47">
                  <c:v>0.45438282647584971</c:v>
                </c:pt>
                <c:pt idx="48">
                  <c:v>1.4436274509803921</c:v>
                </c:pt>
                <c:pt idx="49">
                  <c:v>0.89184060721062619</c:v>
                </c:pt>
                <c:pt idx="50">
                  <c:v>0.42105263157894735</c:v>
                </c:pt>
                <c:pt idx="51">
                  <c:v>0.91081081081081083</c:v>
                </c:pt>
                <c:pt idx="52">
                  <c:v>0.80528511821974968</c:v>
                </c:pt>
                <c:pt idx="53">
                  <c:v>1.0142428785607196</c:v>
                </c:pt>
                <c:pt idx="54">
                  <c:v>0.26803069053708439</c:v>
                </c:pt>
                <c:pt idx="55">
                  <c:v>0.92544196771714071</c:v>
                </c:pt>
                <c:pt idx="56">
                  <c:v>0.44156706507304117</c:v>
                </c:pt>
                <c:pt idx="57">
                  <c:v>0.20867768595041322</c:v>
                </c:pt>
                <c:pt idx="58">
                  <c:v>1.2557154953429297</c:v>
                </c:pt>
                <c:pt idx="59">
                  <c:v>0.39472322814278321</c:v>
                </c:pt>
                <c:pt idx="60">
                  <c:v>0.57993474714518756</c:v>
                </c:pt>
                <c:pt idx="61">
                  <c:v>1.6828358208955223</c:v>
                </c:pt>
                <c:pt idx="62">
                  <c:v>1.0989399293286219</c:v>
                </c:pt>
                <c:pt idx="63">
                  <c:v>1.8835341365461848</c:v>
                </c:pt>
                <c:pt idx="64">
                  <c:v>1.9776785714285714</c:v>
                </c:pt>
                <c:pt idx="65">
                  <c:v>2.8934010152284264</c:v>
                </c:pt>
                <c:pt idx="66">
                  <c:v>0.8741721854304636</c:v>
                </c:pt>
                <c:pt idx="67">
                  <c:v>0.32692307692307693</c:v>
                </c:pt>
                <c:pt idx="68">
                  <c:v>0.6333333333333333</c:v>
                </c:pt>
                <c:pt idx="69">
                  <c:v>0.76438356164383559</c:v>
                </c:pt>
                <c:pt idx="70">
                  <c:v>0.25637065637065637</c:v>
                </c:pt>
                <c:pt idx="71">
                  <c:v>3.6515580736543911</c:v>
                </c:pt>
                <c:pt idx="72">
                  <c:v>0.95300621976503108</c:v>
                </c:pt>
                <c:pt idx="73">
                  <c:v>0.40802501302761857</c:v>
                </c:pt>
                <c:pt idx="74">
                  <c:v>0.31095123900879296</c:v>
                </c:pt>
                <c:pt idx="75">
                  <c:v>0.53484959647835661</c:v>
                </c:pt>
                <c:pt idx="76">
                  <c:v>1.5114213197969544</c:v>
                </c:pt>
                <c:pt idx="77">
                  <c:v>0.98741610738255037</c:v>
                </c:pt>
                <c:pt idx="78">
                  <c:v>1.8346709470304976</c:v>
                </c:pt>
                <c:pt idx="79">
                  <c:v>1.1731493099121706</c:v>
                </c:pt>
                <c:pt idx="80">
                  <c:v>2.4886363636363638</c:v>
                </c:pt>
                <c:pt idx="81">
                  <c:v>0.59684799186578541</c:v>
                </c:pt>
                <c:pt idx="82">
                  <c:v>0.939873417721519</c:v>
                </c:pt>
                <c:pt idx="83">
                  <c:v>0.63852647735993862</c:v>
                </c:pt>
                <c:pt idx="84">
                  <c:v>0.39984650805832694</c:v>
                </c:pt>
                <c:pt idx="85">
                  <c:v>4.7149532710280377</c:v>
                </c:pt>
                <c:pt idx="86">
                  <c:v>0.22197802197802197</c:v>
                </c:pt>
                <c:pt idx="87">
                  <c:v>0.45140562248995986</c:v>
                </c:pt>
                <c:pt idx="88">
                  <c:v>0.57107843137254899</c:v>
                </c:pt>
                <c:pt idx="89">
                  <c:v>0.76809651474530827</c:v>
                </c:pt>
                <c:pt idx="90">
                  <c:v>0.17589774802191113</c:v>
                </c:pt>
                <c:pt idx="91">
                  <c:v>0.80640941792020926</c:v>
                </c:pt>
                <c:pt idx="92">
                  <c:v>0.18487858719646799</c:v>
                </c:pt>
                <c:pt idx="93">
                  <c:v>0.93454790823211875</c:v>
                </c:pt>
                <c:pt idx="94">
                  <c:v>0.48301886792452831</c:v>
                </c:pt>
                <c:pt idx="95">
                  <c:v>0.25804661487236402</c:v>
                </c:pt>
                <c:pt idx="96">
                  <c:v>1.2721382289416847</c:v>
                </c:pt>
                <c:pt idx="97">
                  <c:v>0.7680327868852459</c:v>
                </c:pt>
                <c:pt idx="98">
                  <c:v>0.63017583664208732</c:v>
                </c:pt>
                <c:pt idx="99">
                  <c:v>0.62208258527827653</c:v>
                </c:pt>
                <c:pt idx="100">
                  <c:v>0.84968354430379744</c:v>
                </c:pt>
                <c:pt idx="101">
                  <c:v>0.3885480572597137</c:v>
                </c:pt>
                <c:pt idx="102">
                  <c:v>0.19787516600265603</c:v>
                </c:pt>
                <c:pt idx="103">
                  <c:v>0.44652908067542213</c:v>
                </c:pt>
                <c:pt idx="104">
                  <c:v>1.2574796010879419</c:v>
                </c:pt>
                <c:pt idx="105">
                  <c:v>1.6922005571030641</c:v>
                </c:pt>
                <c:pt idx="106">
                  <c:v>0.71011904761904765</c:v>
                </c:pt>
                <c:pt idx="107">
                  <c:v>0.61526639344262291</c:v>
                </c:pt>
                <c:pt idx="108">
                  <c:v>0.72283702213279677</c:v>
                </c:pt>
                <c:pt idx="109">
                  <c:v>1.0983899821109124</c:v>
                </c:pt>
                <c:pt idx="110">
                  <c:v>1.7374429223744292</c:v>
                </c:pt>
                <c:pt idx="111">
                  <c:v>2.8818897637795278</c:v>
                </c:pt>
                <c:pt idx="112">
                  <c:v>0.43047158403869407</c:v>
                </c:pt>
                <c:pt idx="113">
                  <c:v>0.15296640457469621</c:v>
                </c:pt>
                <c:pt idx="114">
                  <c:v>0.98450184501845017</c:v>
                </c:pt>
                <c:pt idx="115">
                  <c:v>1.3419593345656193</c:v>
                </c:pt>
                <c:pt idx="116">
                  <c:v>0.85963687150837986</c:v>
                </c:pt>
                <c:pt idx="117">
                  <c:v>0.72994350282485876</c:v>
                </c:pt>
                <c:pt idx="118">
                  <c:v>0.71464903357070197</c:v>
                </c:pt>
                <c:pt idx="119">
                  <c:v>0.30888491353607633</c:v>
                </c:pt>
                <c:pt idx="120">
                  <c:v>1.2535748331744518</c:v>
                </c:pt>
                <c:pt idx="121">
                  <c:v>2.6785714285714284</c:v>
                </c:pt>
                <c:pt idx="122">
                  <c:v>1.9846153846153847</c:v>
                </c:pt>
                <c:pt idx="123">
                  <c:v>0.21747967479674796</c:v>
                </c:pt>
                <c:pt idx="124">
                  <c:v>1.0287500000000001</c:v>
                </c:pt>
                <c:pt idx="125">
                  <c:v>0.52941176470588236</c:v>
                </c:pt>
                <c:pt idx="126">
                  <c:v>0.28535606820461384</c:v>
                </c:pt>
                <c:pt idx="127">
                  <c:v>1.5558659217877095</c:v>
                </c:pt>
                <c:pt idx="128">
                  <c:v>0.74521072796934862</c:v>
                </c:pt>
                <c:pt idx="129">
                  <c:v>0.76505016722408026</c:v>
                </c:pt>
                <c:pt idx="130">
                  <c:v>0.63645887899423781</c:v>
                </c:pt>
                <c:pt idx="131">
                  <c:v>1.2952879581151833</c:v>
                </c:pt>
                <c:pt idx="132">
                  <c:v>0.20957613814756673</c:v>
                </c:pt>
                <c:pt idx="133">
                  <c:v>1.4239690721649485</c:v>
                </c:pt>
                <c:pt idx="134">
                  <c:v>3.4765840220385673</c:v>
                </c:pt>
                <c:pt idx="135">
                  <c:v>2.1565217391304348</c:v>
                </c:pt>
                <c:pt idx="136">
                  <c:v>0.72811059907834097</c:v>
                </c:pt>
                <c:pt idx="137">
                  <c:v>1.0376914016489989</c:v>
                </c:pt>
                <c:pt idx="138">
                  <c:v>0.87378640776699024</c:v>
                </c:pt>
                <c:pt idx="139">
                  <c:v>0.78658976207642395</c:v>
                </c:pt>
                <c:pt idx="140">
                  <c:v>1.0805309734513275</c:v>
                </c:pt>
                <c:pt idx="141">
                  <c:v>4.2936046511627906</c:v>
                </c:pt>
                <c:pt idx="142">
                  <c:v>1.3474494706448508</c:v>
                </c:pt>
                <c:pt idx="143">
                  <c:v>1.1268758526603002</c:v>
                </c:pt>
                <c:pt idx="144">
                  <c:v>1.0660847880299251</c:v>
                </c:pt>
                <c:pt idx="145">
                  <c:v>0.37350359138068634</c:v>
                </c:pt>
                <c:pt idx="146">
                  <c:v>1.197610294117647</c:v>
                </c:pt>
                <c:pt idx="147">
                  <c:v>2.8183673469387753</c:v>
                </c:pt>
                <c:pt idx="148">
                  <c:v>0.27667057444314186</c:v>
                </c:pt>
                <c:pt idx="149">
                  <c:v>0.22214627477785373</c:v>
                </c:pt>
                <c:pt idx="150">
                  <c:v>0.19256434699714015</c:v>
                </c:pt>
                <c:pt idx="151">
                  <c:v>2.3272058823529411</c:v>
                </c:pt>
                <c:pt idx="152">
                  <c:v>0.68571428571428572</c:v>
                </c:pt>
                <c:pt idx="153">
                  <c:v>1.2493438320209973</c:v>
                </c:pt>
                <c:pt idx="154">
                  <c:v>0.65239948119325553</c:v>
                </c:pt>
                <c:pt idx="155">
                  <c:v>0.43349414197105446</c:v>
                </c:pt>
                <c:pt idx="156">
                  <c:v>0.52047082906857722</c:v>
                </c:pt>
                <c:pt idx="157">
                  <c:v>0.65459610027855153</c:v>
                </c:pt>
                <c:pt idx="158">
                  <c:v>0.72291021671826627</c:v>
                </c:pt>
                <c:pt idx="159">
                  <c:v>0.44458518049398354</c:v>
                </c:pt>
                <c:pt idx="160">
                  <c:v>0.74906567004805125</c:v>
                </c:pt>
                <c:pt idx="161">
                  <c:v>3.3800475059382422</c:v>
                </c:pt>
                <c:pt idx="162">
                  <c:v>0.77746478873239433</c:v>
                </c:pt>
                <c:pt idx="163">
                  <c:v>1.6333333333333333</c:v>
                </c:pt>
                <c:pt idx="164">
                  <c:v>0.69470234844347356</c:v>
                </c:pt>
                <c:pt idx="165">
                  <c:v>2.3202479338842976</c:v>
                </c:pt>
                <c:pt idx="166">
                  <c:v>0.90322580645161288</c:v>
                </c:pt>
              </c:numCache>
            </c:numRef>
          </c:yVal>
          <c:smooth val="0"/>
          <c:extLst>
            <c:ext xmlns:c16="http://schemas.microsoft.com/office/drawing/2014/chart" uri="{C3380CC4-5D6E-409C-BE32-E72D297353CC}">
              <c16:uniqueId val="{00000001-6BC8-451E-A4AD-93FE5937CA45}"/>
            </c:ext>
          </c:extLst>
        </c:ser>
        <c:dLbls>
          <c:showLegendKey val="0"/>
          <c:showVal val="0"/>
          <c:showCatName val="0"/>
          <c:showSerName val="0"/>
          <c:showPercent val="0"/>
          <c:showBubbleSize val="0"/>
        </c:dLbls>
        <c:axId val="73366143"/>
        <c:axId val="73367103"/>
      </c:scatterChart>
      <c:valAx>
        <c:axId val="733661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3367103"/>
        <c:crosses val="autoZero"/>
        <c:crossBetween val="midCat"/>
      </c:valAx>
      <c:valAx>
        <c:axId val="73367103"/>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73366143"/>
        <c:crosses val="autoZero"/>
        <c:crossBetween val="midCat"/>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CTR vs CPC Analysis</a:t>
            </a:r>
          </a:p>
        </c:rich>
      </c:tx>
      <c:layout>
        <c:manualLayout>
          <c:xMode val="edge"/>
          <c:yMode val="edge"/>
          <c:x val="1.7416666666666653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1"/>
          <c:order val="0"/>
          <c:spPr>
            <a:ln w="25400" cap="rnd">
              <a:noFill/>
              <a:round/>
            </a:ln>
            <a:effectLst/>
          </c:spPr>
          <c:marker>
            <c:symbol val="circle"/>
            <c:size val="5"/>
            <c:spPr>
              <a:solidFill>
                <a:schemeClr val="accent2"/>
              </a:solidFill>
              <a:ln w="9525">
                <a:solidFill>
                  <a:schemeClr val="accent2"/>
                </a:solidFill>
              </a:ln>
              <a:effectLst/>
            </c:spPr>
          </c:marker>
          <c:xVal>
            <c:numRef>
              <c:f>Raw_Data!$I$2:$I$168</c:f>
              <c:numCache>
                <c:formatCode>0%</c:formatCode>
                <c:ptCount val="167"/>
                <c:pt idx="0">
                  <c:v>5.6666666666666664E-2</c:v>
                </c:pt>
                <c:pt idx="1">
                  <c:v>4.8000000000000001E-2</c:v>
                </c:pt>
                <c:pt idx="2">
                  <c:v>2.2285714285714287E-2</c:v>
                </c:pt>
                <c:pt idx="3">
                  <c:v>0.04</c:v>
                </c:pt>
                <c:pt idx="4">
                  <c:v>4.4642857142857144E-2</c:v>
                </c:pt>
                <c:pt idx="5">
                  <c:v>0.05</c:v>
                </c:pt>
                <c:pt idx="6">
                  <c:v>0.04</c:v>
                </c:pt>
                <c:pt idx="7">
                  <c:v>0.04</c:v>
                </c:pt>
                <c:pt idx="8">
                  <c:v>6.1444444444444447E-2</c:v>
                </c:pt>
                <c:pt idx="9">
                  <c:v>0.05</c:v>
                </c:pt>
                <c:pt idx="10">
                  <c:v>0.04</c:v>
                </c:pt>
                <c:pt idx="11">
                  <c:v>0.05</c:v>
                </c:pt>
                <c:pt idx="12">
                  <c:v>3.6666666666666667E-2</c:v>
                </c:pt>
                <c:pt idx="13">
                  <c:v>0.05</c:v>
                </c:pt>
                <c:pt idx="14">
                  <c:v>0.05</c:v>
                </c:pt>
                <c:pt idx="15">
                  <c:v>0.05</c:v>
                </c:pt>
                <c:pt idx="16">
                  <c:v>4.4285714285714282E-2</c:v>
                </c:pt>
                <c:pt idx="17">
                  <c:v>0.05</c:v>
                </c:pt>
                <c:pt idx="18">
                  <c:v>3.7894736842105266E-2</c:v>
                </c:pt>
                <c:pt idx="19">
                  <c:v>0.06</c:v>
                </c:pt>
                <c:pt idx="20">
                  <c:v>3.9375E-2</c:v>
                </c:pt>
                <c:pt idx="21">
                  <c:v>0.05</c:v>
                </c:pt>
                <c:pt idx="22">
                  <c:v>0.11754329698524696</c:v>
                </c:pt>
                <c:pt idx="23">
                  <c:v>2.4701017100704145E-2</c:v>
                </c:pt>
                <c:pt idx="24">
                  <c:v>1.2095892208758039E-2</c:v>
                </c:pt>
                <c:pt idx="25">
                  <c:v>0.20151263986738499</c:v>
                </c:pt>
                <c:pt idx="26">
                  <c:v>3.4213069211257399E-2</c:v>
                </c:pt>
                <c:pt idx="27">
                  <c:v>4.804517394841365E-2</c:v>
                </c:pt>
                <c:pt idx="28">
                  <c:v>2.6349161617584896E-2</c:v>
                </c:pt>
                <c:pt idx="29">
                  <c:v>4.8123554428113106E-2</c:v>
                </c:pt>
                <c:pt idx="30">
                  <c:v>0.1280657952709649</c:v>
                </c:pt>
                <c:pt idx="31">
                  <c:v>1.9835461565638722E-2</c:v>
                </c:pt>
                <c:pt idx="32">
                  <c:v>9.5159116823883075E-2</c:v>
                </c:pt>
                <c:pt idx="33">
                  <c:v>3.1985661599972424E-2</c:v>
                </c:pt>
                <c:pt idx="34">
                  <c:v>1.5374036052851319E-2</c:v>
                </c:pt>
                <c:pt idx="35">
                  <c:v>5.6100478468899519E-2</c:v>
                </c:pt>
                <c:pt idx="36">
                  <c:v>6.4328935621466118E-2</c:v>
                </c:pt>
                <c:pt idx="37">
                  <c:v>5.6048533140166605E-2</c:v>
                </c:pt>
                <c:pt idx="38">
                  <c:v>9.7200906234013017E-3</c:v>
                </c:pt>
                <c:pt idx="39">
                  <c:v>3.8943257317292153E-2</c:v>
                </c:pt>
                <c:pt idx="40">
                  <c:v>0.10931430836305984</c:v>
                </c:pt>
                <c:pt idx="41">
                  <c:v>1.4337824445990681E-2</c:v>
                </c:pt>
                <c:pt idx="42">
                  <c:v>4.7875131164742915E-2</c:v>
                </c:pt>
                <c:pt idx="43">
                  <c:v>3.386798640510405E-2</c:v>
                </c:pt>
                <c:pt idx="44">
                  <c:v>8.5980949945662598E-3</c:v>
                </c:pt>
                <c:pt idx="45">
                  <c:v>5.019582767164895E-2</c:v>
                </c:pt>
                <c:pt idx="46">
                  <c:v>5.9518295507179249E-3</c:v>
                </c:pt>
                <c:pt idx="47">
                  <c:v>0.28656869446343131</c:v>
                </c:pt>
                <c:pt idx="48">
                  <c:v>1.3744778331761218E-2</c:v>
                </c:pt>
                <c:pt idx="49">
                  <c:v>1.377597699647105E-2</c:v>
                </c:pt>
                <c:pt idx="50">
                  <c:v>4.7211252606824336E-2</c:v>
                </c:pt>
                <c:pt idx="51">
                  <c:v>8.3833692081114755E-2</c:v>
                </c:pt>
                <c:pt idx="52">
                  <c:v>1.516429746488379E-2</c:v>
                </c:pt>
                <c:pt idx="53">
                  <c:v>5.5632011343258687E-2</c:v>
                </c:pt>
                <c:pt idx="54">
                  <c:v>0.13226439347811381</c:v>
                </c:pt>
                <c:pt idx="55">
                  <c:v>2.6620015141284554E-2</c:v>
                </c:pt>
                <c:pt idx="56">
                  <c:v>4.880103694102398E-2</c:v>
                </c:pt>
                <c:pt idx="57">
                  <c:v>0.12595966167859465</c:v>
                </c:pt>
                <c:pt idx="58">
                  <c:v>2.5920154511335954E-2</c:v>
                </c:pt>
                <c:pt idx="59">
                  <c:v>4.9103287100543618E-2</c:v>
                </c:pt>
                <c:pt idx="60">
                  <c:v>0.12334004024144869</c:v>
                </c:pt>
                <c:pt idx="61">
                  <c:v>1.781362165994594E-2</c:v>
                </c:pt>
                <c:pt idx="62">
                  <c:v>6.0625535561268207E-2</c:v>
                </c:pt>
                <c:pt idx="63">
                  <c:v>3.2191338073691012E-2</c:v>
                </c:pt>
                <c:pt idx="64">
                  <c:v>2.8112449799196786E-2</c:v>
                </c:pt>
                <c:pt idx="65">
                  <c:v>4.4120940649496079E-2</c:v>
                </c:pt>
                <c:pt idx="66">
                  <c:v>1.2794080266613946E-2</c:v>
                </c:pt>
                <c:pt idx="67">
                  <c:v>6.2296173044925122E-2</c:v>
                </c:pt>
                <c:pt idx="68">
                  <c:v>5.2102579262434411E-2</c:v>
                </c:pt>
                <c:pt idx="69">
                  <c:v>0.18668166939443534</c:v>
                </c:pt>
                <c:pt idx="70">
                  <c:v>4.5043478260869567E-2</c:v>
                </c:pt>
                <c:pt idx="71">
                  <c:v>1.2642360862402406E-2</c:v>
                </c:pt>
                <c:pt idx="72">
                  <c:v>3.2486192806789098E-2</c:v>
                </c:pt>
                <c:pt idx="73">
                  <c:v>8.5292679674652205E-2</c:v>
                </c:pt>
                <c:pt idx="74">
                  <c:v>2.7888623849120539E-2</c:v>
                </c:pt>
                <c:pt idx="75">
                  <c:v>5.0481481481481481E-2</c:v>
                </c:pt>
                <c:pt idx="76">
                  <c:v>2.7280595464774106E-2</c:v>
                </c:pt>
                <c:pt idx="77">
                  <c:v>3.2068872746838846E-2</c:v>
                </c:pt>
                <c:pt idx="78">
                  <c:v>1.270857982130472E-2</c:v>
                </c:pt>
                <c:pt idx="79">
                  <c:v>2.7817528184007539E-2</c:v>
                </c:pt>
                <c:pt idx="80">
                  <c:v>6.1554244678122599E-3</c:v>
                </c:pt>
                <c:pt idx="81">
                  <c:v>8.917803871786735E-2</c:v>
                </c:pt>
                <c:pt idx="82">
                  <c:v>3.1872188489702052E-2</c:v>
                </c:pt>
                <c:pt idx="83">
                  <c:v>2.7192854310578708E-2</c:v>
                </c:pt>
                <c:pt idx="84">
                  <c:v>3.3659683294154114E-2</c:v>
                </c:pt>
                <c:pt idx="85">
                  <c:v>5.2325297080541835E-3</c:v>
                </c:pt>
                <c:pt idx="86">
                  <c:v>1.92466318394281E-2</c:v>
                </c:pt>
                <c:pt idx="87">
                  <c:v>3.7888009738283629E-2</c:v>
                </c:pt>
                <c:pt idx="88">
                  <c:v>4.9472535467442708E-2</c:v>
                </c:pt>
                <c:pt idx="89">
                  <c:v>2.7440594423600383E-2</c:v>
                </c:pt>
                <c:pt idx="90">
                  <c:v>5.0059413180585599E-2</c:v>
                </c:pt>
                <c:pt idx="91">
                  <c:v>3.1676645466034103E-2</c:v>
                </c:pt>
                <c:pt idx="92">
                  <c:v>3.9739456543193628E-2</c:v>
                </c:pt>
                <c:pt idx="93">
                  <c:v>3.4397920341658159E-2</c:v>
                </c:pt>
                <c:pt idx="94">
                  <c:v>6.9767441860465115E-2</c:v>
                </c:pt>
                <c:pt idx="95">
                  <c:v>3.9558316686057998E-2</c:v>
                </c:pt>
                <c:pt idx="96">
                  <c:v>2.4923292243096303E-2</c:v>
                </c:pt>
                <c:pt idx="97">
                  <c:v>5.0586723058423516E-2</c:v>
                </c:pt>
                <c:pt idx="98">
                  <c:v>9.5617745959431608E-2</c:v>
                </c:pt>
                <c:pt idx="99">
                  <c:v>6.857494613727301E-2</c:v>
                </c:pt>
                <c:pt idx="100">
                  <c:v>1.6486669797047007E-2</c:v>
                </c:pt>
                <c:pt idx="101">
                  <c:v>5.5509833413741237E-2</c:v>
                </c:pt>
                <c:pt idx="102">
                  <c:v>4.0173926961346598E-2</c:v>
                </c:pt>
                <c:pt idx="103">
                  <c:v>1.2753942236366682E-2</c:v>
                </c:pt>
                <c:pt idx="104">
                  <c:v>2.2340145423612096E-2</c:v>
                </c:pt>
                <c:pt idx="105">
                  <c:v>2.8178963893249608E-2</c:v>
                </c:pt>
                <c:pt idx="106">
                  <c:v>8.6983535259397324E-2</c:v>
                </c:pt>
                <c:pt idx="107">
                  <c:v>0.10769655172413793</c:v>
                </c:pt>
                <c:pt idx="108">
                  <c:v>4.4695249443557634E-2</c:v>
                </c:pt>
                <c:pt idx="109">
                  <c:v>1.5547211792518426E-2</c:v>
                </c:pt>
                <c:pt idx="110">
                  <c:v>8.796947178148223E-3</c:v>
                </c:pt>
                <c:pt idx="111">
                  <c:v>8.5935649761477821E-3</c:v>
                </c:pt>
                <c:pt idx="112">
                  <c:v>0.10813284518828452</c:v>
                </c:pt>
                <c:pt idx="113">
                  <c:v>3.7768958721416807E-2</c:v>
                </c:pt>
                <c:pt idx="114">
                  <c:v>7.1368376698620034E-2</c:v>
                </c:pt>
                <c:pt idx="115">
                  <c:v>0.10145335208626348</c:v>
                </c:pt>
                <c:pt idx="116">
                  <c:v>5.6825396825396828E-2</c:v>
                </c:pt>
                <c:pt idx="117">
                  <c:v>3.6128347485303726E-2</c:v>
                </c:pt>
                <c:pt idx="118">
                  <c:v>0.35493771438887883</c:v>
                </c:pt>
                <c:pt idx="119">
                  <c:v>7.4912891986062713E-2</c:v>
                </c:pt>
                <c:pt idx="120">
                  <c:v>4.1882935398866089E-2</c:v>
                </c:pt>
                <c:pt idx="121">
                  <c:v>9.6529533440588376E-3</c:v>
                </c:pt>
                <c:pt idx="122">
                  <c:v>1.3949994634617447E-2</c:v>
                </c:pt>
                <c:pt idx="123">
                  <c:v>2.0123110902063437E-2</c:v>
                </c:pt>
                <c:pt idx="124">
                  <c:v>1.8724838498267952E-2</c:v>
                </c:pt>
                <c:pt idx="125">
                  <c:v>9.1189226204063001E-2</c:v>
                </c:pt>
                <c:pt idx="126">
                  <c:v>7.0611565565352877E-2</c:v>
                </c:pt>
                <c:pt idx="127">
                  <c:v>1.7172322820482071E-2</c:v>
                </c:pt>
                <c:pt idx="128">
                  <c:v>3.4086456836881288E-2</c:v>
                </c:pt>
                <c:pt idx="129">
                  <c:v>2.8377544725478099E-2</c:v>
                </c:pt>
                <c:pt idx="130">
                  <c:v>0.12807782623280778</c:v>
                </c:pt>
                <c:pt idx="131">
                  <c:v>0.14382530120481929</c:v>
                </c:pt>
                <c:pt idx="132">
                  <c:v>4.9736482529767714E-2</c:v>
                </c:pt>
                <c:pt idx="133">
                  <c:v>1.7367949865711729E-2</c:v>
                </c:pt>
                <c:pt idx="134">
                  <c:v>4.5792859846095622E-2</c:v>
                </c:pt>
                <c:pt idx="135">
                  <c:v>3.1390746553841956E-2</c:v>
                </c:pt>
                <c:pt idx="136">
                  <c:v>6.2798437273911156E-2</c:v>
                </c:pt>
                <c:pt idx="137">
                  <c:v>1.8235319386571587E-2</c:v>
                </c:pt>
                <c:pt idx="138">
                  <c:v>6.7509995411942064E-3</c:v>
                </c:pt>
                <c:pt idx="139">
                  <c:v>3.7650316240940306E-2</c:v>
                </c:pt>
                <c:pt idx="140">
                  <c:v>3.3825246205884993E-2</c:v>
                </c:pt>
                <c:pt idx="141">
                  <c:v>8.4701942727698036E-3</c:v>
                </c:pt>
                <c:pt idx="142">
                  <c:v>3.0595718366265203E-2</c:v>
                </c:pt>
                <c:pt idx="143">
                  <c:v>7.0480769230769236E-2</c:v>
                </c:pt>
                <c:pt idx="144">
                  <c:v>4.6928028086600349E-2</c:v>
                </c:pt>
                <c:pt idx="145">
                  <c:v>6.0905069751616199E-2</c:v>
                </c:pt>
                <c:pt idx="146">
                  <c:v>2.7699984724273131E-2</c:v>
                </c:pt>
                <c:pt idx="147">
                  <c:v>1.6154556244230515E-2</c:v>
                </c:pt>
                <c:pt idx="148">
                  <c:v>1.7359273881720868E-2</c:v>
                </c:pt>
                <c:pt idx="149">
                  <c:v>3.570382663022257E-2</c:v>
                </c:pt>
                <c:pt idx="150">
                  <c:v>0.1565204416592062</c:v>
                </c:pt>
                <c:pt idx="151">
                  <c:v>9.3179404611010239E-3</c:v>
                </c:pt>
                <c:pt idx="152">
                  <c:v>3.9668404520578994E-2</c:v>
                </c:pt>
                <c:pt idx="153">
                  <c:v>9.5998790566418062E-3</c:v>
                </c:pt>
                <c:pt idx="154">
                  <c:v>3.4092416537696221E-2</c:v>
                </c:pt>
                <c:pt idx="155">
                  <c:v>6.2389818119275915E-2</c:v>
                </c:pt>
                <c:pt idx="156">
                  <c:v>6.7039489484338008E-2</c:v>
                </c:pt>
                <c:pt idx="157">
                  <c:v>3.6068077239938115E-2</c:v>
                </c:pt>
                <c:pt idx="158">
                  <c:v>4.5326971653101317E-2</c:v>
                </c:pt>
                <c:pt idx="159">
                  <c:v>4.1213165244172997E-2</c:v>
                </c:pt>
                <c:pt idx="160">
                  <c:v>0.12318316343308122</c:v>
                </c:pt>
                <c:pt idx="161">
                  <c:v>1.3443607101800996E-2</c:v>
                </c:pt>
                <c:pt idx="162">
                  <c:v>8.0917213712618521E-2</c:v>
                </c:pt>
                <c:pt idx="163">
                  <c:v>1.6971754152018428E-2</c:v>
                </c:pt>
                <c:pt idx="164">
                  <c:v>4.5257928170650323E-2</c:v>
                </c:pt>
                <c:pt idx="165">
                  <c:v>1.0085224312892001E-2</c:v>
                </c:pt>
                <c:pt idx="166">
                  <c:v>2.7602915596786216E-2</c:v>
                </c:pt>
              </c:numCache>
            </c:numRef>
          </c:xVal>
          <c:yVal>
            <c:numRef>
              <c:f>Raw_Data!$J$2:$J$168</c:f>
              <c:numCache>
                <c:formatCode>_ [$₹-4009]\ * #,##0.00_ ;_ [$₹-4009]\ * \-#,##0.00_ ;_ [$₹-4009]\ * "-"??_ ;_ @_ </c:formatCode>
                <c:ptCount val="167"/>
                <c:pt idx="0">
                  <c:v>0.76470588235294112</c:v>
                </c:pt>
                <c:pt idx="1">
                  <c:v>0.35</c:v>
                </c:pt>
                <c:pt idx="2">
                  <c:v>0.48717948717948717</c:v>
                </c:pt>
                <c:pt idx="3">
                  <c:v>0.3125</c:v>
                </c:pt>
                <c:pt idx="4">
                  <c:v>0.57599999999999996</c:v>
                </c:pt>
                <c:pt idx="5">
                  <c:v>0.18387096774193548</c:v>
                </c:pt>
                <c:pt idx="6">
                  <c:v>0.50595238095238093</c:v>
                </c:pt>
                <c:pt idx="7">
                  <c:v>0.30592105263157893</c:v>
                </c:pt>
                <c:pt idx="8">
                  <c:v>0.56057866184448468</c:v>
                </c:pt>
                <c:pt idx="9">
                  <c:v>0.26153846153846155</c:v>
                </c:pt>
                <c:pt idx="10">
                  <c:v>0.67105263157894735</c:v>
                </c:pt>
                <c:pt idx="11">
                  <c:v>0.36603773584905658</c:v>
                </c:pt>
                <c:pt idx="12">
                  <c:v>0.55757575757575761</c:v>
                </c:pt>
                <c:pt idx="13">
                  <c:v>0.36206896551724138</c:v>
                </c:pt>
                <c:pt idx="14">
                  <c:v>0.53296703296703296</c:v>
                </c:pt>
                <c:pt idx="15">
                  <c:v>0.32537313432835818</c:v>
                </c:pt>
                <c:pt idx="16">
                  <c:v>0.36827956989247312</c:v>
                </c:pt>
                <c:pt idx="17">
                  <c:v>0.20357142857142857</c:v>
                </c:pt>
                <c:pt idx="18">
                  <c:v>0.43402777777777779</c:v>
                </c:pt>
                <c:pt idx="19">
                  <c:v>0.28518518518518521</c:v>
                </c:pt>
                <c:pt idx="20">
                  <c:v>0.55158730158730163</c:v>
                </c:pt>
                <c:pt idx="21">
                  <c:v>0.32285714285714284</c:v>
                </c:pt>
                <c:pt idx="22">
                  <c:v>1.0750341064120055</c:v>
                </c:pt>
                <c:pt idx="23">
                  <c:v>0.86696832579185523</c:v>
                </c:pt>
                <c:pt idx="24">
                  <c:v>1.2350813743218807</c:v>
                </c:pt>
                <c:pt idx="25">
                  <c:v>0.1532133676092545</c:v>
                </c:pt>
                <c:pt idx="26">
                  <c:v>0.32480141218005298</c:v>
                </c:pt>
                <c:pt idx="27">
                  <c:v>0.49103585657370519</c:v>
                </c:pt>
                <c:pt idx="28">
                  <c:v>0.21836007130124777</c:v>
                </c:pt>
                <c:pt idx="29">
                  <c:v>0.9147286821705426</c:v>
                </c:pt>
                <c:pt idx="30">
                  <c:v>1.3967889908256881</c:v>
                </c:pt>
                <c:pt idx="31">
                  <c:v>0.45674300254452926</c:v>
                </c:pt>
                <c:pt idx="32">
                  <c:v>0.81590413943355122</c:v>
                </c:pt>
                <c:pt idx="33">
                  <c:v>0.32650862068965519</c:v>
                </c:pt>
                <c:pt idx="34">
                  <c:v>1.976038338658147</c:v>
                </c:pt>
                <c:pt idx="35">
                  <c:v>1.8550106609808101</c:v>
                </c:pt>
                <c:pt idx="36">
                  <c:v>1.1148804934464147</c:v>
                </c:pt>
                <c:pt idx="37">
                  <c:v>1.431340872374798</c:v>
                </c:pt>
                <c:pt idx="38">
                  <c:v>5.5488721804511281</c:v>
                </c:pt>
                <c:pt idx="39">
                  <c:v>0.4265129682997118</c:v>
                </c:pt>
                <c:pt idx="40">
                  <c:v>0.7831762146482959</c:v>
                </c:pt>
                <c:pt idx="41">
                  <c:v>1.3794117647058823</c:v>
                </c:pt>
                <c:pt idx="42">
                  <c:v>1.0986301369863014</c:v>
                </c:pt>
                <c:pt idx="43">
                  <c:v>1.6461267605633803</c:v>
                </c:pt>
                <c:pt idx="44">
                  <c:v>0.96282527881040891</c:v>
                </c:pt>
                <c:pt idx="45">
                  <c:v>1.5079617834394905</c:v>
                </c:pt>
                <c:pt idx="46">
                  <c:v>3.5603112840466924</c:v>
                </c:pt>
                <c:pt idx="47">
                  <c:v>0.45438282647584971</c:v>
                </c:pt>
                <c:pt idx="48">
                  <c:v>1.4436274509803921</c:v>
                </c:pt>
                <c:pt idx="49">
                  <c:v>0.89184060721062619</c:v>
                </c:pt>
                <c:pt idx="50">
                  <c:v>0.42105263157894735</c:v>
                </c:pt>
                <c:pt idx="51">
                  <c:v>0.91081081081081083</c:v>
                </c:pt>
                <c:pt idx="52">
                  <c:v>0.80528511821974968</c:v>
                </c:pt>
                <c:pt idx="53">
                  <c:v>1.0142428785607196</c:v>
                </c:pt>
                <c:pt idx="54">
                  <c:v>0.26803069053708439</c:v>
                </c:pt>
                <c:pt idx="55">
                  <c:v>0.92544196771714071</c:v>
                </c:pt>
                <c:pt idx="56">
                  <c:v>0.44156706507304117</c:v>
                </c:pt>
                <c:pt idx="57">
                  <c:v>0.20867768595041322</c:v>
                </c:pt>
                <c:pt idx="58">
                  <c:v>1.2557154953429297</c:v>
                </c:pt>
                <c:pt idx="59">
                  <c:v>0.39472322814278321</c:v>
                </c:pt>
                <c:pt idx="60">
                  <c:v>0.57993474714518756</c:v>
                </c:pt>
                <c:pt idx="61">
                  <c:v>1.6828358208955223</c:v>
                </c:pt>
                <c:pt idx="62">
                  <c:v>1.0989399293286219</c:v>
                </c:pt>
                <c:pt idx="63">
                  <c:v>1.8835341365461848</c:v>
                </c:pt>
                <c:pt idx="64">
                  <c:v>1.9776785714285714</c:v>
                </c:pt>
                <c:pt idx="65">
                  <c:v>2.8934010152284264</c:v>
                </c:pt>
                <c:pt idx="66">
                  <c:v>0.8741721854304636</c:v>
                </c:pt>
                <c:pt idx="67">
                  <c:v>0.32692307692307693</c:v>
                </c:pt>
                <c:pt idx="68">
                  <c:v>0.6333333333333333</c:v>
                </c:pt>
                <c:pt idx="69">
                  <c:v>0.76438356164383559</c:v>
                </c:pt>
                <c:pt idx="70">
                  <c:v>0.25637065637065637</c:v>
                </c:pt>
                <c:pt idx="71">
                  <c:v>3.6515580736543911</c:v>
                </c:pt>
                <c:pt idx="72">
                  <c:v>0.95300621976503108</c:v>
                </c:pt>
                <c:pt idx="73">
                  <c:v>0.40802501302761857</c:v>
                </c:pt>
                <c:pt idx="74">
                  <c:v>0.31095123900879296</c:v>
                </c:pt>
                <c:pt idx="75">
                  <c:v>0.53484959647835661</c:v>
                </c:pt>
                <c:pt idx="76">
                  <c:v>1.5114213197969544</c:v>
                </c:pt>
                <c:pt idx="77">
                  <c:v>0.98741610738255037</c:v>
                </c:pt>
                <c:pt idx="78">
                  <c:v>1.8346709470304976</c:v>
                </c:pt>
                <c:pt idx="79">
                  <c:v>1.1731493099121706</c:v>
                </c:pt>
                <c:pt idx="80">
                  <c:v>2.4886363636363638</c:v>
                </c:pt>
                <c:pt idx="81">
                  <c:v>0.59684799186578541</c:v>
                </c:pt>
                <c:pt idx="82">
                  <c:v>0.939873417721519</c:v>
                </c:pt>
                <c:pt idx="83">
                  <c:v>0.63852647735993862</c:v>
                </c:pt>
                <c:pt idx="84">
                  <c:v>0.39984650805832694</c:v>
                </c:pt>
                <c:pt idx="85">
                  <c:v>4.7149532710280377</c:v>
                </c:pt>
                <c:pt idx="86">
                  <c:v>0.22197802197802197</c:v>
                </c:pt>
                <c:pt idx="87">
                  <c:v>0.45140562248995986</c:v>
                </c:pt>
                <c:pt idx="88">
                  <c:v>0.57107843137254899</c:v>
                </c:pt>
                <c:pt idx="89">
                  <c:v>0.76809651474530827</c:v>
                </c:pt>
                <c:pt idx="90">
                  <c:v>0.17589774802191113</c:v>
                </c:pt>
                <c:pt idx="91">
                  <c:v>0.80640941792020926</c:v>
                </c:pt>
                <c:pt idx="92">
                  <c:v>0.18487858719646799</c:v>
                </c:pt>
                <c:pt idx="93">
                  <c:v>0.93454790823211875</c:v>
                </c:pt>
                <c:pt idx="94">
                  <c:v>0.48301886792452831</c:v>
                </c:pt>
                <c:pt idx="95">
                  <c:v>0.25804661487236402</c:v>
                </c:pt>
                <c:pt idx="96">
                  <c:v>1.2721382289416847</c:v>
                </c:pt>
                <c:pt idx="97">
                  <c:v>0.7680327868852459</c:v>
                </c:pt>
                <c:pt idx="98">
                  <c:v>0.63017583664208732</c:v>
                </c:pt>
                <c:pt idx="99">
                  <c:v>0.62208258527827653</c:v>
                </c:pt>
                <c:pt idx="100">
                  <c:v>0.84968354430379744</c:v>
                </c:pt>
                <c:pt idx="101">
                  <c:v>0.3885480572597137</c:v>
                </c:pt>
                <c:pt idx="102">
                  <c:v>0.19787516600265603</c:v>
                </c:pt>
                <c:pt idx="103">
                  <c:v>0.44652908067542213</c:v>
                </c:pt>
                <c:pt idx="104">
                  <c:v>1.2574796010879419</c:v>
                </c:pt>
                <c:pt idx="105">
                  <c:v>1.6922005571030641</c:v>
                </c:pt>
                <c:pt idx="106">
                  <c:v>0.71011904761904765</c:v>
                </c:pt>
                <c:pt idx="107">
                  <c:v>0.61526639344262291</c:v>
                </c:pt>
                <c:pt idx="108">
                  <c:v>0.72283702213279677</c:v>
                </c:pt>
                <c:pt idx="109">
                  <c:v>1.0983899821109124</c:v>
                </c:pt>
                <c:pt idx="110">
                  <c:v>1.7374429223744292</c:v>
                </c:pt>
                <c:pt idx="111">
                  <c:v>2.8818897637795278</c:v>
                </c:pt>
                <c:pt idx="112">
                  <c:v>0.43047158403869407</c:v>
                </c:pt>
                <c:pt idx="113">
                  <c:v>0.15296640457469621</c:v>
                </c:pt>
                <c:pt idx="114">
                  <c:v>0.98450184501845017</c:v>
                </c:pt>
                <c:pt idx="115">
                  <c:v>1.3419593345656193</c:v>
                </c:pt>
                <c:pt idx="116">
                  <c:v>0.85963687150837986</c:v>
                </c:pt>
                <c:pt idx="117">
                  <c:v>0.72994350282485876</c:v>
                </c:pt>
                <c:pt idx="118">
                  <c:v>0.71464903357070197</c:v>
                </c:pt>
                <c:pt idx="119">
                  <c:v>0.30888491353607633</c:v>
                </c:pt>
                <c:pt idx="120">
                  <c:v>1.2535748331744518</c:v>
                </c:pt>
                <c:pt idx="121">
                  <c:v>2.6785714285714284</c:v>
                </c:pt>
                <c:pt idx="122">
                  <c:v>1.9846153846153847</c:v>
                </c:pt>
                <c:pt idx="123">
                  <c:v>0.21747967479674796</c:v>
                </c:pt>
                <c:pt idx="124">
                  <c:v>1.0287500000000001</c:v>
                </c:pt>
                <c:pt idx="125">
                  <c:v>0.52941176470588236</c:v>
                </c:pt>
                <c:pt idx="126">
                  <c:v>0.28535606820461384</c:v>
                </c:pt>
                <c:pt idx="127">
                  <c:v>1.5558659217877095</c:v>
                </c:pt>
                <c:pt idx="128">
                  <c:v>0.74521072796934862</c:v>
                </c:pt>
                <c:pt idx="129">
                  <c:v>0.76505016722408026</c:v>
                </c:pt>
                <c:pt idx="130">
                  <c:v>0.63645887899423781</c:v>
                </c:pt>
                <c:pt idx="131">
                  <c:v>1.2952879581151833</c:v>
                </c:pt>
                <c:pt idx="132">
                  <c:v>0.20957613814756673</c:v>
                </c:pt>
                <c:pt idx="133">
                  <c:v>1.4239690721649485</c:v>
                </c:pt>
                <c:pt idx="134">
                  <c:v>3.4765840220385673</c:v>
                </c:pt>
                <c:pt idx="135">
                  <c:v>2.1565217391304348</c:v>
                </c:pt>
                <c:pt idx="136">
                  <c:v>0.72811059907834097</c:v>
                </c:pt>
                <c:pt idx="137">
                  <c:v>1.0376914016489989</c:v>
                </c:pt>
                <c:pt idx="138">
                  <c:v>0.87378640776699024</c:v>
                </c:pt>
                <c:pt idx="139">
                  <c:v>0.78658976207642395</c:v>
                </c:pt>
                <c:pt idx="140">
                  <c:v>1.0805309734513275</c:v>
                </c:pt>
                <c:pt idx="141">
                  <c:v>4.2936046511627906</c:v>
                </c:pt>
                <c:pt idx="142">
                  <c:v>1.3474494706448508</c:v>
                </c:pt>
                <c:pt idx="143">
                  <c:v>1.1268758526603002</c:v>
                </c:pt>
                <c:pt idx="144">
                  <c:v>1.0660847880299251</c:v>
                </c:pt>
                <c:pt idx="145">
                  <c:v>0.37350359138068634</c:v>
                </c:pt>
                <c:pt idx="146">
                  <c:v>1.197610294117647</c:v>
                </c:pt>
                <c:pt idx="147">
                  <c:v>2.8183673469387753</c:v>
                </c:pt>
                <c:pt idx="148">
                  <c:v>0.27667057444314186</c:v>
                </c:pt>
                <c:pt idx="149">
                  <c:v>0.22214627477785373</c:v>
                </c:pt>
                <c:pt idx="150">
                  <c:v>0.19256434699714015</c:v>
                </c:pt>
                <c:pt idx="151">
                  <c:v>2.3272058823529411</c:v>
                </c:pt>
                <c:pt idx="152">
                  <c:v>0.68571428571428572</c:v>
                </c:pt>
                <c:pt idx="153">
                  <c:v>1.2493438320209973</c:v>
                </c:pt>
                <c:pt idx="154">
                  <c:v>0.65239948119325553</c:v>
                </c:pt>
                <c:pt idx="155">
                  <c:v>0.43349414197105446</c:v>
                </c:pt>
                <c:pt idx="156">
                  <c:v>0.52047082906857722</c:v>
                </c:pt>
                <c:pt idx="157">
                  <c:v>0.65459610027855153</c:v>
                </c:pt>
                <c:pt idx="158">
                  <c:v>0.72291021671826627</c:v>
                </c:pt>
                <c:pt idx="159">
                  <c:v>0.44458518049398354</c:v>
                </c:pt>
                <c:pt idx="160">
                  <c:v>0.74906567004805125</c:v>
                </c:pt>
                <c:pt idx="161">
                  <c:v>3.3800475059382422</c:v>
                </c:pt>
                <c:pt idx="162">
                  <c:v>0.77746478873239433</c:v>
                </c:pt>
                <c:pt idx="163">
                  <c:v>1.6333333333333333</c:v>
                </c:pt>
                <c:pt idx="164">
                  <c:v>0.69470234844347356</c:v>
                </c:pt>
                <c:pt idx="165">
                  <c:v>2.3202479338842976</c:v>
                </c:pt>
                <c:pt idx="166">
                  <c:v>0.90322580645161288</c:v>
                </c:pt>
              </c:numCache>
            </c:numRef>
          </c:yVal>
          <c:smooth val="0"/>
          <c:extLst>
            <c:ext xmlns:c16="http://schemas.microsoft.com/office/drawing/2014/chart" uri="{C3380CC4-5D6E-409C-BE32-E72D297353CC}">
              <c16:uniqueId val="{00000003-D3FF-45B0-BA24-4A1AE1ECAE07}"/>
            </c:ext>
          </c:extLst>
        </c:ser>
        <c:ser>
          <c:idx val="0"/>
          <c:order val="1"/>
          <c:tx>
            <c:strRef>
              <c:f>Raw_Data!$J$1</c:f>
              <c:strCache>
                <c:ptCount val="1"/>
                <c:pt idx="0">
                  <c:v>CPC</c:v>
                </c:pt>
              </c:strCache>
            </c:strRef>
          </c:tx>
          <c:spPr>
            <a:ln w="25400" cap="rnd">
              <a:noFill/>
              <a:round/>
            </a:ln>
            <a:effectLst/>
          </c:spPr>
          <c:marker>
            <c:symbol val="circle"/>
            <c:size val="5"/>
            <c:spPr>
              <a:solidFill>
                <a:schemeClr val="accent1"/>
              </a:solidFill>
              <a:ln w="9525">
                <a:solidFill>
                  <a:schemeClr val="accent1"/>
                </a:solidFill>
              </a:ln>
              <a:effectLst/>
            </c:spPr>
          </c:marker>
          <c:xVal>
            <c:numRef>
              <c:f>Raw_Data!$I$2:$I$168</c:f>
              <c:numCache>
                <c:formatCode>0%</c:formatCode>
                <c:ptCount val="167"/>
                <c:pt idx="0">
                  <c:v>5.6666666666666664E-2</c:v>
                </c:pt>
                <c:pt idx="1">
                  <c:v>4.8000000000000001E-2</c:v>
                </c:pt>
                <c:pt idx="2">
                  <c:v>2.2285714285714287E-2</c:v>
                </c:pt>
                <c:pt idx="3">
                  <c:v>0.04</c:v>
                </c:pt>
                <c:pt idx="4">
                  <c:v>4.4642857142857144E-2</c:v>
                </c:pt>
                <c:pt idx="5">
                  <c:v>0.05</c:v>
                </c:pt>
                <c:pt idx="6">
                  <c:v>0.04</c:v>
                </c:pt>
                <c:pt idx="7">
                  <c:v>0.04</c:v>
                </c:pt>
                <c:pt idx="8">
                  <c:v>6.1444444444444447E-2</c:v>
                </c:pt>
                <c:pt idx="9">
                  <c:v>0.05</c:v>
                </c:pt>
                <c:pt idx="10">
                  <c:v>0.04</c:v>
                </c:pt>
                <c:pt idx="11">
                  <c:v>0.05</c:v>
                </c:pt>
                <c:pt idx="12">
                  <c:v>3.6666666666666667E-2</c:v>
                </c:pt>
                <c:pt idx="13">
                  <c:v>0.05</c:v>
                </c:pt>
                <c:pt idx="14">
                  <c:v>0.05</c:v>
                </c:pt>
                <c:pt idx="15">
                  <c:v>0.05</c:v>
                </c:pt>
                <c:pt idx="16">
                  <c:v>4.4285714285714282E-2</c:v>
                </c:pt>
                <c:pt idx="17">
                  <c:v>0.05</c:v>
                </c:pt>
                <c:pt idx="18">
                  <c:v>3.7894736842105266E-2</c:v>
                </c:pt>
                <c:pt idx="19">
                  <c:v>0.06</c:v>
                </c:pt>
                <c:pt idx="20">
                  <c:v>3.9375E-2</c:v>
                </c:pt>
                <c:pt idx="21">
                  <c:v>0.05</c:v>
                </c:pt>
                <c:pt idx="22">
                  <c:v>0.11754329698524696</c:v>
                </c:pt>
                <c:pt idx="23">
                  <c:v>2.4701017100704145E-2</c:v>
                </c:pt>
                <c:pt idx="24">
                  <c:v>1.2095892208758039E-2</c:v>
                </c:pt>
                <c:pt idx="25">
                  <c:v>0.20151263986738499</c:v>
                </c:pt>
                <c:pt idx="26">
                  <c:v>3.4213069211257399E-2</c:v>
                </c:pt>
                <c:pt idx="27">
                  <c:v>4.804517394841365E-2</c:v>
                </c:pt>
                <c:pt idx="28">
                  <c:v>2.6349161617584896E-2</c:v>
                </c:pt>
                <c:pt idx="29">
                  <c:v>4.8123554428113106E-2</c:v>
                </c:pt>
                <c:pt idx="30">
                  <c:v>0.1280657952709649</c:v>
                </c:pt>
                <c:pt idx="31">
                  <c:v>1.9835461565638722E-2</c:v>
                </c:pt>
                <c:pt idx="32">
                  <c:v>9.5159116823883075E-2</c:v>
                </c:pt>
                <c:pt idx="33">
                  <c:v>3.1985661599972424E-2</c:v>
                </c:pt>
                <c:pt idx="34">
                  <c:v>1.5374036052851319E-2</c:v>
                </c:pt>
                <c:pt idx="35">
                  <c:v>5.6100478468899519E-2</c:v>
                </c:pt>
                <c:pt idx="36">
                  <c:v>6.4328935621466118E-2</c:v>
                </c:pt>
                <c:pt idx="37">
                  <c:v>5.6048533140166605E-2</c:v>
                </c:pt>
                <c:pt idx="38">
                  <c:v>9.7200906234013017E-3</c:v>
                </c:pt>
                <c:pt idx="39">
                  <c:v>3.8943257317292153E-2</c:v>
                </c:pt>
                <c:pt idx="40">
                  <c:v>0.10931430836305984</c:v>
                </c:pt>
                <c:pt idx="41">
                  <c:v>1.4337824445990681E-2</c:v>
                </c:pt>
                <c:pt idx="42">
                  <c:v>4.7875131164742915E-2</c:v>
                </c:pt>
                <c:pt idx="43">
                  <c:v>3.386798640510405E-2</c:v>
                </c:pt>
                <c:pt idx="44">
                  <c:v>8.5980949945662598E-3</c:v>
                </c:pt>
                <c:pt idx="45">
                  <c:v>5.019582767164895E-2</c:v>
                </c:pt>
                <c:pt idx="46">
                  <c:v>5.9518295507179249E-3</c:v>
                </c:pt>
                <c:pt idx="47">
                  <c:v>0.28656869446343131</c:v>
                </c:pt>
                <c:pt idx="48">
                  <c:v>1.3744778331761218E-2</c:v>
                </c:pt>
                <c:pt idx="49">
                  <c:v>1.377597699647105E-2</c:v>
                </c:pt>
                <c:pt idx="50">
                  <c:v>4.7211252606824336E-2</c:v>
                </c:pt>
                <c:pt idx="51">
                  <c:v>8.3833692081114755E-2</c:v>
                </c:pt>
                <c:pt idx="52">
                  <c:v>1.516429746488379E-2</c:v>
                </c:pt>
                <c:pt idx="53">
                  <c:v>5.5632011343258687E-2</c:v>
                </c:pt>
                <c:pt idx="54">
                  <c:v>0.13226439347811381</c:v>
                </c:pt>
                <c:pt idx="55">
                  <c:v>2.6620015141284554E-2</c:v>
                </c:pt>
                <c:pt idx="56">
                  <c:v>4.880103694102398E-2</c:v>
                </c:pt>
                <c:pt idx="57">
                  <c:v>0.12595966167859465</c:v>
                </c:pt>
                <c:pt idx="58">
                  <c:v>2.5920154511335954E-2</c:v>
                </c:pt>
                <c:pt idx="59">
                  <c:v>4.9103287100543618E-2</c:v>
                </c:pt>
                <c:pt idx="60">
                  <c:v>0.12334004024144869</c:v>
                </c:pt>
                <c:pt idx="61">
                  <c:v>1.781362165994594E-2</c:v>
                </c:pt>
                <c:pt idx="62">
                  <c:v>6.0625535561268207E-2</c:v>
                </c:pt>
                <c:pt idx="63">
                  <c:v>3.2191338073691012E-2</c:v>
                </c:pt>
                <c:pt idx="64">
                  <c:v>2.8112449799196786E-2</c:v>
                </c:pt>
                <c:pt idx="65">
                  <c:v>4.4120940649496079E-2</c:v>
                </c:pt>
                <c:pt idx="66">
                  <c:v>1.2794080266613946E-2</c:v>
                </c:pt>
                <c:pt idx="67">
                  <c:v>6.2296173044925122E-2</c:v>
                </c:pt>
                <c:pt idx="68">
                  <c:v>5.2102579262434411E-2</c:v>
                </c:pt>
                <c:pt idx="69">
                  <c:v>0.18668166939443534</c:v>
                </c:pt>
                <c:pt idx="70">
                  <c:v>4.5043478260869567E-2</c:v>
                </c:pt>
                <c:pt idx="71">
                  <c:v>1.2642360862402406E-2</c:v>
                </c:pt>
                <c:pt idx="72">
                  <c:v>3.2486192806789098E-2</c:v>
                </c:pt>
                <c:pt idx="73">
                  <c:v>8.5292679674652205E-2</c:v>
                </c:pt>
                <c:pt idx="74">
                  <c:v>2.7888623849120539E-2</c:v>
                </c:pt>
                <c:pt idx="75">
                  <c:v>5.0481481481481481E-2</c:v>
                </c:pt>
                <c:pt idx="76">
                  <c:v>2.7280595464774106E-2</c:v>
                </c:pt>
                <c:pt idx="77">
                  <c:v>3.2068872746838846E-2</c:v>
                </c:pt>
                <c:pt idx="78">
                  <c:v>1.270857982130472E-2</c:v>
                </c:pt>
                <c:pt idx="79">
                  <c:v>2.7817528184007539E-2</c:v>
                </c:pt>
                <c:pt idx="80">
                  <c:v>6.1554244678122599E-3</c:v>
                </c:pt>
                <c:pt idx="81">
                  <c:v>8.917803871786735E-2</c:v>
                </c:pt>
                <c:pt idx="82">
                  <c:v>3.1872188489702052E-2</c:v>
                </c:pt>
                <c:pt idx="83">
                  <c:v>2.7192854310578708E-2</c:v>
                </c:pt>
                <c:pt idx="84">
                  <c:v>3.3659683294154114E-2</c:v>
                </c:pt>
                <c:pt idx="85">
                  <c:v>5.2325297080541835E-3</c:v>
                </c:pt>
                <c:pt idx="86">
                  <c:v>1.92466318394281E-2</c:v>
                </c:pt>
                <c:pt idx="87">
                  <c:v>3.7888009738283629E-2</c:v>
                </c:pt>
                <c:pt idx="88">
                  <c:v>4.9472535467442708E-2</c:v>
                </c:pt>
                <c:pt idx="89">
                  <c:v>2.7440594423600383E-2</c:v>
                </c:pt>
                <c:pt idx="90">
                  <c:v>5.0059413180585599E-2</c:v>
                </c:pt>
                <c:pt idx="91">
                  <c:v>3.1676645466034103E-2</c:v>
                </c:pt>
                <c:pt idx="92">
                  <c:v>3.9739456543193628E-2</c:v>
                </c:pt>
                <c:pt idx="93">
                  <c:v>3.4397920341658159E-2</c:v>
                </c:pt>
                <c:pt idx="94">
                  <c:v>6.9767441860465115E-2</c:v>
                </c:pt>
                <c:pt idx="95">
                  <c:v>3.9558316686057998E-2</c:v>
                </c:pt>
                <c:pt idx="96">
                  <c:v>2.4923292243096303E-2</c:v>
                </c:pt>
                <c:pt idx="97">
                  <c:v>5.0586723058423516E-2</c:v>
                </c:pt>
                <c:pt idx="98">
                  <c:v>9.5617745959431608E-2</c:v>
                </c:pt>
                <c:pt idx="99">
                  <c:v>6.857494613727301E-2</c:v>
                </c:pt>
                <c:pt idx="100">
                  <c:v>1.6486669797047007E-2</c:v>
                </c:pt>
                <c:pt idx="101">
                  <c:v>5.5509833413741237E-2</c:v>
                </c:pt>
                <c:pt idx="102">
                  <c:v>4.0173926961346598E-2</c:v>
                </c:pt>
                <c:pt idx="103">
                  <c:v>1.2753942236366682E-2</c:v>
                </c:pt>
                <c:pt idx="104">
                  <c:v>2.2340145423612096E-2</c:v>
                </c:pt>
                <c:pt idx="105">
                  <c:v>2.8178963893249608E-2</c:v>
                </c:pt>
                <c:pt idx="106">
                  <c:v>8.6983535259397324E-2</c:v>
                </c:pt>
                <c:pt idx="107">
                  <c:v>0.10769655172413793</c:v>
                </c:pt>
                <c:pt idx="108">
                  <c:v>4.4695249443557634E-2</c:v>
                </c:pt>
                <c:pt idx="109">
                  <c:v>1.5547211792518426E-2</c:v>
                </c:pt>
                <c:pt idx="110">
                  <c:v>8.796947178148223E-3</c:v>
                </c:pt>
                <c:pt idx="111">
                  <c:v>8.5935649761477821E-3</c:v>
                </c:pt>
                <c:pt idx="112">
                  <c:v>0.10813284518828452</c:v>
                </c:pt>
                <c:pt idx="113">
                  <c:v>3.7768958721416807E-2</c:v>
                </c:pt>
                <c:pt idx="114">
                  <c:v>7.1368376698620034E-2</c:v>
                </c:pt>
                <c:pt idx="115">
                  <c:v>0.10145335208626348</c:v>
                </c:pt>
                <c:pt idx="116">
                  <c:v>5.6825396825396828E-2</c:v>
                </c:pt>
                <c:pt idx="117">
                  <c:v>3.6128347485303726E-2</c:v>
                </c:pt>
                <c:pt idx="118">
                  <c:v>0.35493771438887883</c:v>
                </c:pt>
                <c:pt idx="119">
                  <c:v>7.4912891986062713E-2</c:v>
                </c:pt>
                <c:pt idx="120">
                  <c:v>4.1882935398866089E-2</c:v>
                </c:pt>
                <c:pt idx="121">
                  <c:v>9.6529533440588376E-3</c:v>
                </c:pt>
                <c:pt idx="122">
                  <c:v>1.3949994634617447E-2</c:v>
                </c:pt>
                <c:pt idx="123">
                  <c:v>2.0123110902063437E-2</c:v>
                </c:pt>
                <c:pt idx="124">
                  <c:v>1.8724838498267952E-2</c:v>
                </c:pt>
                <c:pt idx="125">
                  <c:v>9.1189226204063001E-2</c:v>
                </c:pt>
                <c:pt idx="126">
                  <c:v>7.0611565565352877E-2</c:v>
                </c:pt>
                <c:pt idx="127">
                  <c:v>1.7172322820482071E-2</c:v>
                </c:pt>
                <c:pt idx="128">
                  <c:v>3.4086456836881288E-2</c:v>
                </c:pt>
                <c:pt idx="129">
                  <c:v>2.8377544725478099E-2</c:v>
                </c:pt>
                <c:pt idx="130">
                  <c:v>0.12807782623280778</c:v>
                </c:pt>
                <c:pt idx="131">
                  <c:v>0.14382530120481929</c:v>
                </c:pt>
                <c:pt idx="132">
                  <c:v>4.9736482529767714E-2</c:v>
                </c:pt>
                <c:pt idx="133">
                  <c:v>1.7367949865711729E-2</c:v>
                </c:pt>
                <c:pt idx="134">
                  <c:v>4.5792859846095622E-2</c:v>
                </c:pt>
                <c:pt idx="135">
                  <c:v>3.1390746553841956E-2</c:v>
                </c:pt>
                <c:pt idx="136">
                  <c:v>6.2798437273911156E-2</c:v>
                </c:pt>
                <c:pt idx="137">
                  <c:v>1.8235319386571587E-2</c:v>
                </c:pt>
                <c:pt idx="138">
                  <c:v>6.7509995411942064E-3</c:v>
                </c:pt>
                <c:pt idx="139">
                  <c:v>3.7650316240940306E-2</c:v>
                </c:pt>
                <c:pt idx="140">
                  <c:v>3.3825246205884993E-2</c:v>
                </c:pt>
                <c:pt idx="141">
                  <c:v>8.4701942727698036E-3</c:v>
                </c:pt>
                <c:pt idx="142">
                  <c:v>3.0595718366265203E-2</c:v>
                </c:pt>
                <c:pt idx="143">
                  <c:v>7.0480769230769236E-2</c:v>
                </c:pt>
                <c:pt idx="144">
                  <c:v>4.6928028086600349E-2</c:v>
                </c:pt>
                <c:pt idx="145">
                  <c:v>6.0905069751616199E-2</c:v>
                </c:pt>
                <c:pt idx="146">
                  <c:v>2.7699984724273131E-2</c:v>
                </c:pt>
                <c:pt idx="147">
                  <c:v>1.6154556244230515E-2</c:v>
                </c:pt>
                <c:pt idx="148">
                  <c:v>1.7359273881720868E-2</c:v>
                </c:pt>
                <c:pt idx="149">
                  <c:v>3.570382663022257E-2</c:v>
                </c:pt>
                <c:pt idx="150">
                  <c:v>0.1565204416592062</c:v>
                </c:pt>
                <c:pt idx="151">
                  <c:v>9.3179404611010239E-3</c:v>
                </c:pt>
                <c:pt idx="152">
                  <c:v>3.9668404520578994E-2</c:v>
                </c:pt>
                <c:pt idx="153">
                  <c:v>9.5998790566418062E-3</c:v>
                </c:pt>
                <c:pt idx="154">
                  <c:v>3.4092416537696221E-2</c:v>
                </c:pt>
                <c:pt idx="155">
                  <c:v>6.2389818119275915E-2</c:v>
                </c:pt>
                <c:pt idx="156">
                  <c:v>6.7039489484338008E-2</c:v>
                </c:pt>
                <c:pt idx="157">
                  <c:v>3.6068077239938115E-2</c:v>
                </c:pt>
                <c:pt idx="158">
                  <c:v>4.5326971653101317E-2</c:v>
                </c:pt>
                <c:pt idx="159">
                  <c:v>4.1213165244172997E-2</c:v>
                </c:pt>
                <c:pt idx="160">
                  <c:v>0.12318316343308122</c:v>
                </c:pt>
                <c:pt idx="161">
                  <c:v>1.3443607101800996E-2</c:v>
                </c:pt>
                <c:pt idx="162">
                  <c:v>8.0917213712618521E-2</c:v>
                </c:pt>
                <c:pt idx="163">
                  <c:v>1.6971754152018428E-2</c:v>
                </c:pt>
                <c:pt idx="164">
                  <c:v>4.5257928170650323E-2</c:v>
                </c:pt>
                <c:pt idx="165">
                  <c:v>1.0085224312892001E-2</c:v>
                </c:pt>
                <c:pt idx="166">
                  <c:v>2.7602915596786216E-2</c:v>
                </c:pt>
              </c:numCache>
            </c:numRef>
          </c:xVal>
          <c:yVal>
            <c:numRef>
              <c:f>Raw_Data!$J$2:$J$168</c:f>
              <c:numCache>
                <c:formatCode>_ [$₹-4009]\ * #,##0.00_ ;_ [$₹-4009]\ * \-#,##0.00_ ;_ [$₹-4009]\ * "-"??_ ;_ @_ </c:formatCode>
                <c:ptCount val="167"/>
                <c:pt idx="0">
                  <c:v>0.76470588235294112</c:v>
                </c:pt>
                <c:pt idx="1">
                  <c:v>0.35</c:v>
                </c:pt>
                <c:pt idx="2">
                  <c:v>0.48717948717948717</c:v>
                </c:pt>
                <c:pt idx="3">
                  <c:v>0.3125</c:v>
                </c:pt>
                <c:pt idx="4">
                  <c:v>0.57599999999999996</c:v>
                </c:pt>
                <c:pt idx="5">
                  <c:v>0.18387096774193548</c:v>
                </c:pt>
                <c:pt idx="6">
                  <c:v>0.50595238095238093</c:v>
                </c:pt>
                <c:pt idx="7">
                  <c:v>0.30592105263157893</c:v>
                </c:pt>
                <c:pt idx="8">
                  <c:v>0.56057866184448468</c:v>
                </c:pt>
                <c:pt idx="9">
                  <c:v>0.26153846153846155</c:v>
                </c:pt>
                <c:pt idx="10">
                  <c:v>0.67105263157894735</c:v>
                </c:pt>
                <c:pt idx="11">
                  <c:v>0.36603773584905658</c:v>
                </c:pt>
                <c:pt idx="12">
                  <c:v>0.55757575757575761</c:v>
                </c:pt>
                <c:pt idx="13">
                  <c:v>0.36206896551724138</c:v>
                </c:pt>
                <c:pt idx="14">
                  <c:v>0.53296703296703296</c:v>
                </c:pt>
                <c:pt idx="15">
                  <c:v>0.32537313432835818</c:v>
                </c:pt>
                <c:pt idx="16">
                  <c:v>0.36827956989247312</c:v>
                </c:pt>
                <c:pt idx="17">
                  <c:v>0.20357142857142857</c:v>
                </c:pt>
                <c:pt idx="18">
                  <c:v>0.43402777777777779</c:v>
                </c:pt>
                <c:pt idx="19">
                  <c:v>0.28518518518518521</c:v>
                </c:pt>
                <c:pt idx="20">
                  <c:v>0.55158730158730163</c:v>
                </c:pt>
                <c:pt idx="21">
                  <c:v>0.32285714285714284</c:v>
                </c:pt>
                <c:pt idx="22">
                  <c:v>1.0750341064120055</c:v>
                </c:pt>
                <c:pt idx="23">
                  <c:v>0.86696832579185523</c:v>
                </c:pt>
                <c:pt idx="24">
                  <c:v>1.2350813743218807</c:v>
                </c:pt>
                <c:pt idx="25">
                  <c:v>0.1532133676092545</c:v>
                </c:pt>
                <c:pt idx="26">
                  <c:v>0.32480141218005298</c:v>
                </c:pt>
                <c:pt idx="27">
                  <c:v>0.49103585657370519</c:v>
                </c:pt>
                <c:pt idx="28">
                  <c:v>0.21836007130124777</c:v>
                </c:pt>
                <c:pt idx="29">
                  <c:v>0.9147286821705426</c:v>
                </c:pt>
                <c:pt idx="30">
                  <c:v>1.3967889908256881</c:v>
                </c:pt>
                <c:pt idx="31">
                  <c:v>0.45674300254452926</c:v>
                </c:pt>
                <c:pt idx="32">
                  <c:v>0.81590413943355122</c:v>
                </c:pt>
                <c:pt idx="33">
                  <c:v>0.32650862068965519</c:v>
                </c:pt>
                <c:pt idx="34">
                  <c:v>1.976038338658147</c:v>
                </c:pt>
                <c:pt idx="35">
                  <c:v>1.8550106609808101</c:v>
                </c:pt>
                <c:pt idx="36">
                  <c:v>1.1148804934464147</c:v>
                </c:pt>
                <c:pt idx="37">
                  <c:v>1.431340872374798</c:v>
                </c:pt>
                <c:pt idx="38">
                  <c:v>5.5488721804511281</c:v>
                </c:pt>
                <c:pt idx="39">
                  <c:v>0.4265129682997118</c:v>
                </c:pt>
                <c:pt idx="40">
                  <c:v>0.7831762146482959</c:v>
                </c:pt>
                <c:pt idx="41">
                  <c:v>1.3794117647058823</c:v>
                </c:pt>
                <c:pt idx="42">
                  <c:v>1.0986301369863014</c:v>
                </c:pt>
                <c:pt idx="43">
                  <c:v>1.6461267605633803</c:v>
                </c:pt>
                <c:pt idx="44">
                  <c:v>0.96282527881040891</c:v>
                </c:pt>
                <c:pt idx="45">
                  <c:v>1.5079617834394905</c:v>
                </c:pt>
                <c:pt idx="46">
                  <c:v>3.5603112840466924</c:v>
                </c:pt>
                <c:pt idx="47">
                  <c:v>0.45438282647584971</c:v>
                </c:pt>
                <c:pt idx="48">
                  <c:v>1.4436274509803921</c:v>
                </c:pt>
                <c:pt idx="49">
                  <c:v>0.89184060721062619</c:v>
                </c:pt>
                <c:pt idx="50">
                  <c:v>0.42105263157894735</c:v>
                </c:pt>
                <c:pt idx="51">
                  <c:v>0.91081081081081083</c:v>
                </c:pt>
                <c:pt idx="52">
                  <c:v>0.80528511821974968</c:v>
                </c:pt>
                <c:pt idx="53">
                  <c:v>1.0142428785607196</c:v>
                </c:pt>
                <c:pt idx="54">
                  <c:v>0.26803069053708439</c:v>
                </c:pt>
                <c:pt idx="55">
                  <c:v>0.92544196771714071</c:v>
                </c:pt>
                <c:pt idx="56">
                  <c:v>0.44156706507304117</c:v>
                </c:pt>
                <c:pt idx="57">
                  <c:v>0.20867768595041322</c:v>
                </c:pt>
                <c:pt idx="58">
                  <c:v>1.2557154953429297</c:v>
                </c:pt>
                <c:pt idx="59">
                  <c:v>0.39472322814278321</c:v>
                </c:pt>
                <c:pt idx="60">
                  <c:v>0.57993474714518756</c:v>
                </c:pt>
                <c:pt idx="61">
                  <c:v>1.6828358208955223</c:v>
                </c:pt>
                <c:pt idx="62">
                  <c:v>1.0989399293286219</c:v>
                </c:pt>
                <c:pt idx="63">
                  <c:v>1.8835341365461848</c:v>
                </c:pt>
                <c:pt idx="64">
                  <c:v>1.9776785714285714</c:v>
                </c:pt>
                <c:pt idx="65">
                  <c:v>2.8934010152284264</c:v>
                </c:pt>
                <c:pt idx="66">
                  <c:v>0.8741721854304636</c:v>
                </c:pt>
                <c:pt idx="67">
                  <c:v>0.32692307692307693</c:v>
                </c:pt>
                <c:pt idx="68">
                  <c:v>0.6333333333333333</c:v>
                </c:pt>
                <c:pt idx="69">
                  <c:v>0.76438356164383559</c:v>
                </c:pt>
                <c:pt idx="70">
                  <c:v>0.25637065637065637</c:v>
                </c:pt>
                <c:pt idx="71">
                  <c:v>3.6515580736543911</c:v>
                </c:pt>
                <c:pt idx="72">
                  <c:v>0.95300621976503108</c:v>
                </c:pt>
                <c:pt idx="73">
                  <c:v>0.40802501302761857</c:v>
                </c:pt>
                <c:pt idx="74">
                  <c:v>0.31095123900879296</c:v>
                </c:pt>
                <c:pt idx="75">
                  <c:v>0.53484959647835661</c:v>
                </c:pt>
                <c:pt idx="76">
                  <c:v>1.5114213197969544</c:v>
                </c:pt>
                <c:pt idx="77">
                  <c:v>0.98741610738255037</c:v>
                </c:pt>
                <c:pt idx="78">
                  <c:v>1.8346709470304976</c:v>
                </c:pt>
                <c:pt idx="79">
                  <c:v>1.1731493099121706</c:v>
                </c:pt>
                <c:pt idx="80">
                  <c:v>2.4886363636363638</c:v>
                </c:pt>
                <c:pt idx="81">
                  <c:v>0.59684799186578541</c:v>
                </c:pt>
                <c:pt idx="82">
                  <c:v>0.939873417721519</c:v>
                </c:pt>
                <c:pt idx="83">
                  <c:v>0.63852647735993862</c:v>
                </c:pt>
                <c:pt idx="84">
                  <c:v>0.39984650805832694</c:v>
                </c:pt>
                <c:pt idx="85">
                  <c:v>4.7149532710280377</c:v>
                </c:pt>
                <c:pt idx="86">
                  <c:v>0.22197802197802197</c:v>
                </c:pt>
                <c:pt idx="87">
                  <c:v>0.45140562248995986</c:v>
                </c:pt>
                <c:pt idx="88">
                  <c:v>0.57107843137254899</c:v>
                </c:pt>
                <c:pt idx="89">
                  <c:v>0.76809651474530827</c:v>
                </c:pt>
                <c:pt idx="90">
                  <c:v>0.17589774802191113</c:v>
                </c:pt>
                <c:pt idx="91">
                  <c:v>0.80640941792020926</c:v>
                </c:pt>
                <c:pt idx="92">
                  <c:v>0.18487858719646799</c:v>
                </c:pt>
                <c:pt idx="93">
                  <c:v>0.93454790823211875</c:v>
                </c:pt>
                <c:pt idx="94">
                  <c:v>0.48301886792452831</c:v>
                </c:pt>
                <c:pt idx="95">
                  <c:v>0.25804661487236402</c:v>
                </c:pt>
                <c:pt idx="96">
                  <c:v>1.2721382289416847</c:v>
                </c:pt>
                <c:pt idx="97">
                  <c:v>0.7680327868852459</c:v>
                </c:pt>
                <c:pt idx="98">
                  <c:v>0.63017583664208732</c:v>
                </c:pt>
                <c:pt idx="99">
                  <c:v>0.62208258527827653</c:v>
                </c:pt>
                <c:pt idx="100">
                  <c:v>0.84968354430379744</c:v>
                </c:pt>
                <c:pt idx="101">
                  <c:v>0.3885480572597137</c:v>
                </c:pt>
                <c:pt idx="102">
                  <c:v>0.19787516600265603</c:v>
                </c:pt>
                <c:pt idx="103">
                  <c:v>0.44652908067542213</c:v>
                </c:pt>
                <c:pt idx="104">
                  <c:v>1.2574796010879419</c:v>
                </c:pt>
                <c:pt idx="105">
                  <c:v>1.6922005571030641</c:v>
                </c:pt>
                <c:pt idx="106">
                  <c:v>0.71011904761904765</c:v>
                </c:pt>
                <c:pt idx="107">
                  <c:v>0.61526639344262291</c:v>
                </c:pt>
                <c:pt idx="108">
                  <c:v>0.72283702213279677</c:v>
                </c:pt>
                <c:pt idx="109">
                  <c:v>1.0983899821109124</c:v>
                </c:pt>
                <c:pt idx="110">
                  <c:v>1.7374429223744292</c:v>
                </c:pt>
                <c:pt idx="111">
                  <c:v>2.8818897637795278</c:v>
                </c:pt>
                <c:pt idx="112">
                  <c:v>0.43047158403869407</c:v>
                </c:pt>
                <c:pt idx="113">
                  <c:v>0.15296640457469621</c:v>
                </c:pt>
                <c:pt idx="114">
                  <c:v>0.98450184501845017</c:v>
                </c:pt>
                <c:pt idx="115">
                  <c:v>1.3419593345656193</c:v>
                </c:pt>
                <c:pt idx="116">
                  <c:v>0.85963687150837986</c:v>
                </c:pt>
                <c:pt idx="117">
                  <c:v>0.72994350282485876</c:v>
                </c:pt>
                <c:pt idx="118">
                  <c:v>0.71464903357070197</c:v>
                </c:pt>
                <c:pt idx="119">
                  <c:v>0.30888491353607633</c:v>
                </c:pt>
                <c:pt idx="120">
                  <c:v>1.2535748331744518</c:v>
                </c:pt>
                <c:pt idx="121">
                  <c:v>2.6785714285714284</c:v>
                </c:pt>
                <c:pt idx="122">
                  <c:v>1.9846153846153847</c:v>
                </c:pt>
                <c:pt idx="123">
                  <c:v>0.21747967479674796</c:v>
                </c:pt>
                <c:pt idx="124">
                  <c:v>1.0287500000000001</c:v>
                </c:pt>
                <c:pt idx="125">
                  <c:v>0.52941176470588236</c:v>
                </c:pt>
                <c:pt idx="126">
                  <c:v>0.28535606820461384</c:v>
                </c:pt>
                <c:pt idx="127">
                  <c:v>1.5558659217877095</c:v>
                </c:pt>
                <c:pt idx="128">
                  <c:v>0.74521072796934862</c:v>
                </c:pt>
                <c:pt idx="129">
                  <c:v>0.76505016722408026</c:v>
                </c:pt>
                <c:pt idx="130">
                  <c:v>0.63645887899423781</c:v>
                </c:pt>
                <c:pt idx="131">
                  <c:v>1.2952879581151833</c:v>
                </c:pt>
                <c:pt idx="132">
                  <c:v>0.20957613814756673</c:v>
                </c:pt>
                <c:pt idx="133">
                  <c:v>1.4239690721649485</c:v>
                </c:pt>
                <c:pt idx="134">
                  <c:v>3.4765840220385673</c:v>
                </c:pt>
                <c:pt idx="135">
                  <c:v>2.1565217391304348</c:v>
                </c:pt>
                <c:pt idx="136">
                  <c:v>0.72811059907834097</c:v>
                </c:pt>
                <c:pt idx="137">
                  <c:v>1.0376914016489989</c:v>
                </c:pt>
                <c:pt idx="138">
                  <c:v>0.87378640776699024</c:v>
                </c:pt>
                <c:pt idx="139">
                  <c:v>0.78658976207642395</c:v>
                </c:pt>
                <c:pt idx="140">
                  <c:v>1.0805309734513275</c:v>
                </c:pt>
                <c:pt idx="141">
                  <c:v>4.2936046511627906</c:v>
                </c:pt>
                <c:pt idx="142">
                  <c:v>1.3474494706448508</c:v>
                </c:pt>
                <c:pt idx="143">
                  <c:v>1.1268758526603002</c:v>
                </c:pt>
                <c:pt idx="144">
                  <c:v>1.0660847880299251</c:v>
                </c:pt>
                <c:pt idx="145">
                  <c:v>0.37350359138068634</c:v>
                </c:pt>
                <c:pt idx="146">
                  <c:v>1.197610294117647</c:v>
                </c:pt>
                <c:pt idx="147">
                  <c:v>2.8183673469387753</c:v>
                </c:pt>
                <c:pt idx="148">
                  <c:v>0.27667057444314186</c:v>
                </c:pt>
                <c:pt idx="149">
                  <c:v>0.22214627477785373</c:v>
                </c:pt>
                <c:pt idx="150">
                  <c:v>0.19256434699714015</c:v>
                </c:pt>
                <c:pt idx="151">
                  <c:v>2.3272058823529411</c:v>
                </c:pt>
                <c:pt idx="152">
                  <c:v>0.68571428571428572</c:v>
                </c:pt>
                <c:pt idx="153">
                  <c:v>1.2493438320209973</c:v>
                </c:pt>
                <c:pt idx="154">
                  <c:v>0.65239948119325553</c:v>
                </c:pt>
                <c:pt idx="155">
                  <c:v>0.43349414197105446</c:v>
                </c:pt>
                <c:pt idx="156">
                  <c:v>0.52047082906857722</c:v>
                </c:pt>
                <c:pt idx="157">
                  <c:v>0.65459610027855153</c:v>
                </c:pt>
                <c:pt idx="158">
                  <c:v>0.72291021671826627</c:v>
                </c:pt>
                <c:pt idx="159">
                  <c:v>0.44458518049398354</c:v>
                </c:pt>
                <c:pt idx="160">
                  <c:v>0.74906567004805125</c:v>
                </c:pt>
                <c:pt idx="161">
                  <c:v>3.3800475059382422</c:v>
                </c:pt>
                <c:pt idx="162">
                  <c:v>0.77746478873239433</c:v>
                </c:pt>
                <c:pt idx="163">
                  <c:v>1.6333333333333333</c:v>
                </c:pt>
                <c:pt idx="164">
                  <c:v>0.69470234844347356</c:v>
                </c:pt>
                <c:pt idx="165">
                  <c:v>2.3202479338842976</c:v>
                </c:pt>
                <c:pt idx="166">
                  <c:v>0.90322580645161288</c:v>
                </c:pt>
              </c:numCache>
            </c:numRef>
          </c:yVal>
          <c:smooth val="0"/>
          <c:extLst>
            <c:ext xmlns:c16="http://schemas.microsoft.com/office/drawing/2014/chart" uri="{C3380CC4-5D6E-409C-BE32-E72D297353CC}">
              <c16:uniqueId val="{00000002-D3FF-45B0-BA24-4A1AE1ECAE07}"/>
            </c:ext>
          </c:extLst>
        </c:ser>
        <c:dLbls>
          <c:showLegendKey val="0"/>
          <c:showVal val="0"/>
          <c:showCatName val="0"/>
          <c:showSerName val="0"/>
          <c:showPercent val="0"/>
          <c:showBubbleSize val="0"/>
        </c:dLbls>
        <c:axId val="73366143"/>
        <c:axId val="73367103"/>
      </c:scatterChart>
      <c:valAx>
        <c:axId val="733661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67103"/>
        <c:crosses val="autoZero"/>
        <c:crossBetween val="midCat"/>
      </c:valAx>
      <c:valAx>
        <c:axId val="73367103"/>
        <c:scaling>
          <c:orientation val="minMax"/>
        </c:scaling>
        <c:delete val="0"/>
        <c:axPos val="l"/>
        <c:majorGridlines>
          <c:spPr>
            <a:ln w="9525" cap="flat" cmpd="sng" algn="ctr">
              <a:solidFill>
                <a:schemeClr val="tx1">
                  <a:lumMod val="15000"/>
                  <a:lumOff val="85000"/>
                </a:schemeClr>
              </a:solidFill>
              <a:round/>
            </a:ln>
            <a:effectLst/>
          </c:spPr>
        </c:majorGridlines>
        <c:numFmt formatCode="_ [$₹-4009]\ * #,##0.00_ ;_ [$₹-4009]\ * \-#,##0.00_ ;_ [$₹-4009]\ * &quot;-&quot;??_ ;_ @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6614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 Health Dashboard.xlsx]Pie Chart!PieChart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Spend by Channel</a:t>
            </a:r>
            <a:endParaRPr lang="en-IN"/>
          </a:p>
        </c:rich>
      </c:tx>
      <c:layout>
        <c:manualLayout>
          <c:xMode val="edge"/>
          <c:yMode val="edge"/>
          <c:x val="2.8831075670625893E-2"/>
          <c:y val="3.9615166949632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14-45DF-8BFF-2F3BFF3DD1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14-45DF-8BFF-2F3BFF3DD1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14-45DF-8BFF-2F3BFF3DD1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14-45DF-8BFF-2F3BFF3DD1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14-45DF-8BFF-2F3BFF3DD1F5}"/>
              </c:ext>
            </c:extLst>
          </c:dPt>
          <c:cat>
            <c:strRef>
              <c:f>'Pie Chart'!$A$4:$A$9</c:f>
              <c:strCache>
                <c:ptCount val="5"/>
                <c:pt idx="0">
                  <c:v>Email Marketing</c:v>
                </c:pt>
                <c:pt idx="1">
                  <c:v>Facebook Ads</c:v>
                </c:pt>
                <c:pt idx="2">
                  <c:v>Google Ads</c:v>
                </c:pt>
                <c:pt idx="3">
                  <c:v>Instagram Ads</c:v>
                </c:pt>
                <c:pt idx="4">
                  <c:v>LinkedIn Ads</c:v>
                </c:pt>
              </c:strCache>
            </c:strRef>
          </c:cat>
          <c:val>
            <c:numRef>
              <c:f>'Pie Chart'!$B$4:$B$9</c:f>
              <c:numCache>
                <c:formatCode>General</c:formatCode>
                <c:ptCount val="5"/>
                <c:pt idx="0">
                  <c:v>1477</c:v>
                </c:pt>
                <c:pt idx="1">
                  <c:v>80512</c:v>
                </c:pt>
                <c:pt idx="2">
                  <c:v>7395</c:v>
                </c:pt>
                <c:pt idx="3">
                  <c:v>35602</c:v>
                </c:pt>
                <c:pt idx="4">
                  <c:v>12790</c:v>
                </c:pt>
              </c:numCache>
            </c:numRef>
          </c:val>
          <c:extLst>
            <c:ext xmlns:c16="http://schemas.microsoft.com/office/drawing/2014/chart" uri="{C3380CC4-5D6E-409C-BE32-E72D297353CC}">
              <c16:uniqueId val="{00000000-60A6-4A3E-BFEF-2BC7FAB0C23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 Health Dashboard.xlsx]Bar Chart!BarChart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ROAS Performance by Channel</a:t>
            </a:r>
            <a:endParaRPr lang="en-IN"/>
          </a:p>
        </c:rich>
      </c:tx>
      <c:layout>
        <c:manualLayout>
          <c:xMode val="edge"/>
          <c:yMode val="edge"/>
          <c:x val="1.1458223972003504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'Bar Chart'!$B$3</c:f>
              <c:strCache>
                <c:ptCount val="1"/>
                <c:pt idx="0">
                  <c:v>Total</c:v>
                </c:pt>
              </c:strCache>
            </c:strRef>
          </c:tx>
          <c:spPr>
            <a:solidFill>
              <a:schemeClr val="accent1"/>
            </a:solidFill>
            <a:ln>
              <a:noFill/>
            </a:ln>
            <a:effectLst/>
          </c:spPr>
          <c:invertIfNegative val="0"/>
          <c:cat>
            <c:strRef>
              <c:f>'Bar Chart'!$A$4:$A$9</c:f>
              <c:strCache>
                <c:ptCount val="5"/>
                <c:pt idx="0">
                  <c:v>Email Marketing</c:v>
                </c:pt>
                <c:pt idx="1">
                  <c:v>Facebook Ads</c:v>
                </c:pt>
                <c:pt idx="2">
                  <c:v>Google Ads</c:v>
                </c:pt>
                <c:pt idx="3">
                  <c:v>Instagram Ads</c:v>
                </c:pt>
                <c:pt idx="4">
                  <c:v>LinkedIn Ads</c:v>
                </c:pt>
              </c:strCache>
            </c:strRef>
          </c:cat>
          <c:val>
            <c:numRef>
              <c:f>'Bar Chart'!$B$4:$B$9</c:f>
              <c:numCache>
                <c:formatCode>0.00</c:formatCode>
                <c:ptCount val="5"/>
                <c:pt idx="0">
                  <c:v>6.6885578876100205</c:v>
                </c:pt>
                <c:pt idx="1">
                  <c:v>997.98326229228223</c:v>
                </c:pt>
                <c:pt idx="2">
                  <c:v>106.05387616142256</c:v>
                </c:pt>
                <c:pt idx="3">
                  <c:v>492.18266593870425</c:v>
                </c:pt>
                <c:pt idx="4">
                  <c:v>117.16322065527899</c:v>
                </c:pt>
              </c:numCache>
            </c:numRef>
          </c:val>
          <c:extLst>
            <c:ext xmlns:c16="http://schemas.microsoft.com/office/drawing/2014/chart" uri="{C3380CC4-5D6E-409C-BE32-E72D297353CC}">
              <c16:uniqueId val="{00000000-29D3-4305-ABA8-E2561F7616DB}"/>
            </c:ext>
          </c:extLst>
        </c:ser>
        <c:dLbls>
          <c:showLegendKey val="0"/>
          <c:showVal val="0"/>
          <c:showCatName val="0"/>
          <c:showSerName val="0"/>
          <c:showPercent val="0"/>
          <c:showBubbleSize val="0"/>
        </c:dLbls>
        <c:gapWidth val="219"/>
        <c:overlap val="-27"/>
        <c:axId val="195660671"/>
        <c:axId val="206382495"/>
      </c:barChart>
      <c:catAx>
        <c:axId val="19566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2495"/>
        <c:crosses val="autoZero"/>
        <c:auto val="1"/>
        <c:lblAlgn val="ctr"/>
        <c:lblOffset val="100"/>
        <c:noMultiLvlLbl val="0"/>
      </c:catAx>
      <c:valAx>
        <c:axId val="206382495"/>
        <c:scaling>
          <c:orientation val="minMax"/>
          <c:max val="1100"/>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6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[Campaign Health Dashboard.xlsx]Line Graph!LineGraph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 Over Time</a:t>
            </a:r>
            <a:endParaRPr lang="en-US"/>
          </a:p>
        </c:rich>
      </c:tx>
      <c:layout>
        <c:manualLayout>
          <c:xMode val="edge"/>
          <c:yMode val="edge"/>
          <c:x val="1.951377952755903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Graph'!$B$3</c:f>
              <c:strCache>
                <c:ptCount val="1"/>
                <c:pt idx="0">
                  <c:v>Total</c:v>
                </c:pt>
              </c:strCache>
            </c:strRef>
          </c:tx>
          <c:spPr>
            <a:ln w="28575" cap="rnd">
              <a:solidFill>
                <a:schemeClr val="accent1"/>
              </a:solidFill>
              <a:round/>
            </a:ln>
            <a:effectLst/>
          </c:spPr>
          <c:marker>
            <c:symbol val="none"/>
          </c:marker>
          <c:cat>
            <c:strRef>
              <c:f>'Line Graph'!$A$4:$A$16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'Line Graph'!$B$4:$B$16</c:f>
              <c:numCache>
                <c:formatCode>General</c:formatCode>
                <c:ptCount val="12"/>
                <c:pt idx="0">
                  <c:v>78525</c:v>
                </c:pt>
                <c:pt idx="1">
                  <c:v>88366</c:v>
                </c:pt>
                <c:pt idx="2">
                  <c:v>88318</c:v>
                </c:pt>
                <c:pt idx="3">
                  <c:v>107521</c:v>
                </c:pt>
                <c:pt idx="4">
                  <c:v>33600</c:v>
                </c:pt>
                <c:pt idx="5">
                  <c:v>106116</c:v>
                </c:pt>
                <c:pt idx="6">
                  <c:v>109114</c:v>
                </c:pt>
                <c:pt idx="7">
                  <c:v>101197</c:v>
                </c:pt>
                <c:pt idx="8">
                  <c:v>67470</c:v>
                </c:pt>
                <c:pt idx="9">
                  <c:v>110079</c:v>
                </c:pt>
                <c:pt idx="10">
                  <c:v>80205</c:v>
                </c:pt>
                <c:pt idx="11">
                  <c:v>87132</c:v>
                </c:pt>
              </c:numCache>
            </c:numRef>
          </c:val>
          <c:smooth val="0"/>
          <c:extLst>
            <c:ext xmlns:c16="http://schemas.microsoft.com/office/drawing/2014/chart" uri="{C3380CC4-5D6E-409C-BE32-E72D297353CC}">
              <c16:uniqueId val="{00000000-A588-4570-AA76-3ED85EEF5676}"/>
            </c:ext>
          </c:extLst>
        </c:ser>
        <c:dLbls>
          <c:showLegendKey val="0"/>
          <c:showVal val="0"/>
          <c:showCatName val="0"/>
          <c:showSerName val="0"/>
          <c:showPercent val="0"/>
          <c:showBubbleSize val="0"/>
        </c:dLbls>
        <c:smooth val="0"/>
        <c:axId val="536279584"/>
        <c:axId val="536280064"/>
      </c:lineChart>
      <c:catAx>
        <c:axId val="53627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80064"/>
        <c:crosses val="autoZero"/>
        <c:auto val="1"/>
        <c:lblAlgn val="ctr"/>
        <c:lblOffset val="100"/>
        <c:noMultiLvlLbl val="0"/>
      </c:catAx>
      <c:valAx>
        <c:axId val="53628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279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1815</xdr:colOff>
      <xdr:row>18</xdr:row>
      <xdr:rowOff>68797</xdr:rowOff>
    </xdr:from>
    <xdr:to>
      <xdr:col>7</xdr:col>
      <xdr:colOff>9293</xdr:colOff>
      <xdr:row>30</xdr:row>
      <xdr:rowOff>102221</xdr:rowOff>
    </xdr:to>
    <xdr:graphicFrame macro="">
      <xdr:nvGraphicFramePr>
        <xdr:cNvPr id="2" name="Chart 1">
          <a:extLst>
            <a:ext uri="{FF2B5EF4-FFF2-40B4-BE49-F238E27FC236}">
              <a16:creationId xmlns:a16="http://schemas.microsoft.com/office/drawing/2014/main" id="{0E80693C-D7E6-47F6-BF3F-98E94E970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211655</xdr:colOff>
      <xdr:row>9</xdr:row>
      <xdr:rowOff>2021</xdr:rowOff>
    </xdr:from>
    <xdr:to>
      <xdr:col>18</xdr:col>
      <xdr:colOff>294483</xdr:colOff>
      <xdr:row>20</xdr:row>
      <xdr:rowOff>37169</xdr:rowOff>
    </xdr:to>
    <xdr:graphicFrame macro="">
      <xdr:nvGraphicFramePr>
        <xdr:cNvPr id="3" name="Chart 2">
          <a:extLst>
            <a:ext uri="{FF2B5EF4-FFF2-40B4-BE49-F238E27FC236}">
              <a16:creationId xmlns:a16="http://schemas.microsoft.com/office/drawing/2014/main" id="{EA8708A9-B2F8-4A34-87AE-864A895CF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255841</xdr:colOff>
      <xdr:row>18</xdr:row>
      <xdr:rowOff>65049</xdr:rowOff>
    </xdr:from>
    <xdr:to>
      <xdr:col>11</xdr:col>
      <xdr:colOff>532887</xdr:colOff>
      <xdr:row>30</xdr:row>
      <xdr:rowOff>120805</xdr:rowOff>
    </xdr:to>
    <xdr:graphicFrame macro="">
      <xdr:nvGraphicFramePr>
        <xdr:cNvPr id="4" name="Chart 3">
          <a:extLst>
            <a:ext uri="{FF2B5EF4-FFF2-40B4-BE49-F238E27FC236}">
              <a16:creationId xmlns:a16="http://schemas.microsoft.com/office/drawing/2014/main" id="{7AC79B3D-5D04-4E1A-810C-6D4736A7A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206360</xdr:colOff>
      <xdr:row>20</xdr:row>
      <xdr:rowOff>167268</xdr:rowOff>
    </xdr:from>
    <xdr:to>
      <xdr:col>18</xdr:col>
      <xdr:colOff>299929</xdr:colOff>
      <xdr:row>31</xdr:row>
      <xdr:rowOff>185853</xdr:rowOff>
    </xdr:to>
    <xdr:graphicFrame macro="">
      <xdr:nvGraphicFramePr>
        <xdr:cNvPr id="5" name="Chart 4">
          <a:extLst>
            <a:ext uri="{FF2B5EF4-FFF2-40B4-BE49-F238E27FC236}">
              <a16:creationId xmlns:a16="http://schemas.microsoft.com/office/drawing/2014/main" id="{47633ACE-2F1B-4997-97F4-1054FE75E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634561</xdr:colOff>
      <xdr:row>16</xdr:row>
      <xdr:rowOff>170324</xdr:rowOff>
    </xdr:from>
    <xdr:to>
      <xdr:col>20</xdr:col>
      <xdr:colOff>549068</xdr:colOff>
      <xdr:row>33</xdr:row>
      <xdr:rowOff>39413</xdr:rowOff>
    </xdr:to>
    <mc:AlternateContent xmlns:mc="http://schemas.openxmlformats.org/markup-compatibility/2006" xmlns:a14="http://schemas.microsoft.com/office/drawing/2010/main">
      <mc:Choice Requires="a14">
        <xdr:graphicFrame macro="">
          <xdr:nvGraphicFramePr>
            <xdr:cNvPr id="8" name="Month">
              <a:extLst>
                <a:ext uri="{FF2B5EF4-FFF2-40B4-BE49-F238E27FC236}">
                  <a16:creationId xmlns:a16="http://schemas.microsoft.com/office/drawing/2014/main" id="{C4229094-2928-3E39-E21B-1AFFAC00823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030699" y="3743841"/>
              <a:ext cx="1819507" cy="3665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619822</xdr:colOff>
      <xdr:row>8</xdr:row>
      <xdr:rowOff>120337</xdr:rowOff>
    </xdr:from>
    <xdr:to>
      <xdr:col>20</xdr:col>
      <xdr:colOff>538975</xdr:colOff>
      <xdr:row>16</xdr:row>
      <xdr:rowOff>118241</xdr:rowOff>
    </xdr:to>
    <mc:AlternateContent xmlns:mc="http://schemas.openxmlformats.org/markup-compatibility/2006" xmlns:a14="http://schemas.microsoft.com/office/drawing/2010/main">
      <mc:Choice Requires="a14">
        <xdr:graphicFrame macro="">
          <xdr:nvGraphicFramePr>
            <xdr:cNvPr id="10" name="Channel 1">
              <a:extLst>
                <a:ext uri="{FF2B5EF4-FFF2-40B4-BE49-F238E27FC236}">
                  <a16:creationId xmlns:a16="http://schemas.microsoft.com/office/drawing/2014/main" id="{DBB8C038-F120-1305-08D6-58A3AA4342F0}"/>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7015960" y="1907096"/>
              <a:ext cx="1824153" cy="17846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197068</xdr:colOff>
      <xdr:row>3</xdr:row>
      <xdr:rowOff>52553</xdr:rowOff>
    </xdr:from>
    <xdr:to>
      <xdr:col>3</xdr:col>
      <xdr:colOff>0</xdr:colOff>
      <xdr:row>6</xdr:row>
      <xdr:rowOff>91966</xdr:rowOff>
    </xdr:to>
    <xdr:sp macro="" textlink="">
      <xdr:nvSpPr>
        <xdr:cNvPr id="6" name="Rectangle 5">
          <a:extLst>
            <a:ext uri="{FF2B5EF4-FFF2-40B4-BE49-F238E27FC236}">
              <a16:creationId xmlns:a16="http://schemas.microsoft.com/office/drawing/2014/main" id="{5E0B28D4-2E39-18D7-B92D-ABB9024EF6DA}"/>
            </a:ext>
          </a:extLst>
        </xdr:cNvPr>
        <xdr:cNvSpPr/>
      </xdr:nvSpPr>
      <xdr:spPr>
        <a:xfrm>
          <a:off x="197068" y="722587"/>
          <a:ext cx="2758966" cy="709448"/>
        </a:xfrm>
        <a:prstGeom prst="rect">
          <a:avLst/>
        </a:prstGeom>
        <a:solidFill>
          <a:schemeClr val="accent1">
            <a:lumMod val="25000"/>
            <a:lumOff val="75000"/>
          </a:schemeClr>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ysClr val="windowText" lastClr="000000"/>
              </a:solidFill>
              <a:latin typeface="Arial Bold" panose="020B0704020202020204" pitchFamily="34" charset="0"/>
              <a:cs typeface="Arial Bold" panose="020B0704020202020204" pitchFamily="34" charset="0"/>
            </a:rPr>
            <a:t>Total Spend</a:t>
          </a:r>
        </a:p>
      </xdr:txBody>
    </xdr:sp>
    <xdr:clientData/>
  </xdr:twoCellAnchor>
  <xdr:twoCellAnchor>
    <xdr:from>
      <xdr:col>4</xdr:col>
      <xdr:colOff>86708</xdr:colOff>
      <xdr:row>3</xdr:row>
      <xdr:rowOff>47297</xdr:rowOff>
    </xdr:from>
    <xdr:to>
      <xdr:col>7</xdr:col>
      <xdr:colOff>126122</xdr:colOff>
      <xdr:row>6</xdr:row>
      <xdr:rowOff>86710</xdr:rowOff>
    </xdr:to>
    <xdr:sp macro="" textlink="">
      <xdr:nvSpPr>
        <xdr:cNvPr id="7" name="Rectangle 6">
          <a:extLst>
            <a:ext uri="{FF2B5EF4-FFF2-40B4-BE49-F238E27FC236}">
              <a16:creationId xmlns:a16="http://schemas.microsoft.com/office/drawing/2014/main" id="{239D12D7-6EFE-CE2A-6BEF-3D4AD3A61F1E}"/>
            </a:ext>
          </a:extLst>
        </xdr:cNvPr>
        <xdr:cNvSpPr/>
      </xdr:nvSpPr>
      <xdr:spPr>
        <a:xfrm>
          <a:off x="4264570" y="717331"/>
          <a:ext cx="2758966" cy="709448"/>
        </a:xfrm>
        <a:prstGeom prst="rect">
          <a:avLst/>
        </a:prstGeom>
        <a:solidFill>
          <a:schemeClr val="accent1">
            <a:lumMod val="25000"/>
            <a:lumOff val="75000"/>
          </a:schemeClr>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ysClr val="windowText" lastClr="000000"/>
              </a:solidFill>
              <a:latin typeface="Arial Bold" panose="020B0704020202020204" pitchFamily="34" charset="0"/>
              <a:cs typeface="Arial Bold" panose="020B0704020202020204" pitchFamily="34" charset="0"/>
            </a:rPr>
            <a:t>Total Revenue</a:t>
          </a:r>
        </a:p>
      </xdr:txBody>
    </xdr:sp>
    <xdr:clientData/>
  </xdr:twoCellAnchor>
  <xdr:twoCellAnchor>
    <xdr:from>
      <xdr:col>7</xdr:col>
      <xdr:colOff>1395246</xdr:colOff>
      <xdr:row>3</xdr:row>
      <xdr:rowOff>55181</xdr:rowOff>
    </xdr:from>
    <xdr:to>
      <xdr:col>10</xdr:col>
      <xdr:colOff>725212</xdr:colOff>
      <xdr:row>6</xdr:row>
      <xdr:rowOff>94594</xdr:rowOff>
    </xdr:to>
    <xdr:sp macro="" textlink="">
      <xdr:nvSpPr>
        <xdr:cNvPr id="9" name="Rectangle 8">
          <a:extLst>
            <a:ext uri="{FF2B5EF4-FFF2-40B4-BE49-F238E27FC236}">
              <a16:creationId xmlns:a16="http://schemas.microsoft.com/office/drawing/2014/main" id="{7B7AE2B7-6DA5-392C-E175-174A8F4DEA39}"/>
            </a:ext>
          </a:extLst>
        </xdr:cNvPr>
        <xdr:cNvSpPr/>
      </xdr:nvSpPr>
      <xdr:spPr>
        <a:xfrm>
          <a:off x="8292660" y="725215"/>
          <a:ext cx="2758966" cy="709448"/>
        </a:xfrm>
        <a:prstGeom prst="rect">
          <a:avLst/>
        </a:prstGeom>
        <a:solidFill>
          <a:schemeClr val="accent1">
            <a:lumMod val="25000"/>
            <a:lumOff val="75000"/>
          </a:schemeClr>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ysClr val="windowText" lastClr="000000"/>
              </a:solidFill>
              <a:latin typeface="Arial Bold" panose="020B0704020202020204" pitchFamily="34" charset="0"/>
              <a:cs typeface="Arial Bold" panose="020B0704020202020204" pitchFamily="34" charset="0"/>
            </a:rPr>
            <a:t>Total ROAS</a:t>
          </a:r>
        </a:p>
      </xdr:txBody>
    </xdr:sp>
    <xdr:clientData/>
  </xdr:twoCellAnchor>
  <xdr:twoCellAnchor>
    <xdr:from>
      <xdr:col>11</xdr:col>
      <xdr:colOff>856854</xdr:colOff>
      <xdr:row>3</xdr:row>
      <xdr:rowOff>49924</xdr:rowOff>
    </xdr:from>
    <xdr:to>
      <xdr:col>15</xdr:col>
      <xdr:colOff>325820</xdr:colOff>
      <xdr:row>6</xdr:row>
      <xdr:rowOff>89337</xdr:rowOff>
    </xdr:to>
    <xdr:sp macro="" textlink="">
      <xdr:nvSpPr>
        <xdr:cNvPr id="11" name="Rectangle 10">
          <a:extLst>
            <a:ext uri="{FF2B5EF4-FFF2-40B4-BE49-F238E27FC236}">
              <a16:creationId xmlns:a16="http://schemas.microsoft.com/office/drawing/2014/main" id="{B04630C2-FF90-10B9-1526-013B63246328}"/>
            </a:ext>
          </a:extLst>
        </xdr:cNvPr>
        <xdr:cNvSpPr/>
      </xdr:nvSpPr>
      <xdr:spPr>
        <a:xfrm>
          <a:off x="12142337" y="719958"/>
          <a:ext cx="2766586" cy="709448"/>
        </a:xfrm>
        <a:prstGeom prst="rect">
          <a:avLst/>
        </a:prstGeom>
        <a:solidFill>
          <a:schemeClr val="accent1">
            <a:lumMod val="25000"/>
            <a:lumOff val="75000"/>
          </a:schemeClr>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ysClr val="windowText" lastClr="000000"/>
              </a:solidFill>
              <a:latin typeface="Arial Bold" panose="020B0704020202020204" pitchFamily="34" charset="0"/>
              <a:cs typeface="Arial Bold" panose="020B0704020202020204" pitchFamily="34" charset="0"/>
            </a:rPr>
            <a:t>Total Conversions</a:t>
          </a:r>
        </a:p>
      </xdr:txBody>
    </xdr:sp>
    <xdr:clientData/>
  </xdr:twoCellAnchor>
  <xdr:twoCellAnchor>
    <xdr:from>
      <xdr:col>17</xdr:col>
      <xdr:colOff>281149</xdr:colOff>
      <xdr:row>3</xdr:row>
      <xdr:rowOff>84083</xdr:rowOff>
    </xdr:from>
    <xdr:to>
      <xdr:col>20</xdr:col>
      <xdr:colOff>530770</xdr:colOff>
      <xdr:row>6</xdr:row>
      <xdr:rowOff>123496</xdr:rowOff>
    </xdr:to>
    <xdr:sp macro="" textlink="">
      <xdr:nvSpPr>
        <xdr:cNvPr id="12" name="Rectangle 11">
          <a:extLst>
            <a:ext uri="{FF2B5EF4-FFF2-40B4-BE49-F238E27FC236}">
              <a16:creationId xmlns:a16="http://schemas.microsoft.com/office/drawing/2014/main" id="{650EB24C-5669-7E08-E0F4-0E5C58859E5E}"/>
            </a:ext>
          </a:extLst>
        </xdr:cNvPr>
        <xdr:cNvSpPr/>
      </xdr:nvSpPr>
      <xdr:spPr>
        <a:xfrm>
          <a:off x="16072942" y="754117"/>
          <a:ext cx="2758966" cy="709448"/>
        </a:xfrm>
        <a:prstGeom prst="rect">
          <a:avLst/>
        </a:prstGeom>
        <a:solidFill>
          <a:schemeClr val="accent1">
            <a:lumMod val="25000"/>
            <a:lumOff val="75000"/>
          </a:schemeClr>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solidFill>
                <a:sysClr val="windowText" lastClr="000000"/>
              </a:solidFill>
              <a:latin typeface="Arial Bold" panose="020B0704020202020204" pitchFamily="34" charset="0"/>
              <a:cs typeface="Arial Bold" panose="020B0704020202020204" pitchFamily="34" charset="0"/>
            </a:rPr>
            <a:t>Avg CTR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114300</xdr:colOff>
      <xdr:row>2</xdr:row>
      <xdr:rowOff>361950</xdr:rowOff>
    </xdr:from>
    <xdr:to>
      <xdr:col>20</xdr:col>
      <xdr:colOff>373380</xdr:colOff>
      <xdr:row>10</xdr:row>
      <xdr:rowOff>114300</xdr:rowOff>
    </xdr:to>
    <xdr:graphicFrame macro="">
      <xdr:nvGraphicFramePr>
        <xdr:cNvPr id="3" name="Chart 2">
          <a:extLst>
            <a:ext uri="{FF2B5EF4-FFF2-40B4-BE49-F238E27FC236}">
              <a16:creationId xmlns:a16="http://schemas.microsoft.com/office/drawing/2014/main" id="{080E9750-70C5-9ACD-A278-88A324C922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601980</xdr:colOff>
      <xdr:row>2</xdr:row>
      <xdr:rowOff>3810</xdr:rowOff>
    </xdr:from>
    <xdr:to>
      <xdr:col>7</xdr:col>
      <xdr:colOff>434340</xdr:colOff>
      <xdr:row>13</xdr:row>
      <xdr:rowOff>30480</xdr:rowOff>
    </xdr:to>
    <xdr:graphicFrame macro="">
      <xdr:nvGraphicFramePr>
        <xdr:cNvPr id="2" name="Chart 1">
          <a:extLst>
            <a:ext uri="{FF2B5EF4-FFF2-40B4-BE49-F238E27FC236}">
              <a16:creationId xmlns:a16="http://schemas.microsoft.com/office/drawing/2014/main" id="{D2BB8D35-06A1-05E4-31AE-5481DB575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167640</xdr:colOff>
      <xdr:row>6</xdr:row>
      <xdr:rowOff>41910</xdr:rowOff>
    </xdr:from>
    <xdr:to>
      <xdr:col>11</xdr:col>
      <xdr:colOff>472440</xdr:colOff>
      <xdr:row>21</xdr:row>
      <xdr:rowOff>41910</xdr:rowOff>
    </xdr:to>
    <xdr:graphicFrame macro="">
      <xdr:nvGraphicFramePr>
        <xdr:cNvPr id="2" name="Chart 1">
          <a:extLst>
            <a:ext uri="{FF2B5EF4-FFF2-40B4-BE49-F238E27FC236}">
              <a16:creationId xmlns:a16="http://schemas.microsoft.com/office/drawing/2014/main" id="{204664AC-36D8-8E43-095A-01569EE30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571500</xdr:colOff>
      <xdr:row>4</xdr:row>
      <xdr:rowOff>144780</xdr:rowOff>
    </xdr:from>
    <xdr:to>
      <xdr:col>11</xdr:col>
      <xdr:colOff>266700</xdr:colOff>
      <xdr:row>19</xdr:row>
      <xdr:rowOff>144780</xdr:rowOff>
    </xdr:to>
    <xdr:graphicFrame macro="">
      <xdr:nvGraphicFramePr>
        <xdr:cNvPr id="2" name="Chart 1">
          <a:extLst>
            <a:ext uri="{FF2B5EF4-FFF2-40B4-BE49-F238E27FC236}">
              <a16:creationId xmlns:a16="http://schemas.microsoft.com/office/drawing/2014/main" id="{793F56F1-04BE-BB14-5281-1830E204B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naga" refreshedDate="45839.996581712963" createdVersion="8" refreshedVersion="8" minRefreshableVersion="3" recordCount="167" xr:uid="{BB44791A-0F18-4AA1-B0DC-3C655693551C}">
  <cacheSource type="worksheet">
    <worksheetSource ref="A1:M168" sheet="Raw_Data"/>
  </cacheSource>
  <cacheFields count="13">
    <cacheField name="Date" numFmtId="0">
      <sharedItems containsDate="1" containsMixedTypes="1" minDate="2024-01-01T00:00:00" maxDate="2024-12-07T00:00:00" count="145">
        <d v="2024-01-01T00:00:00"/>
        <d v="2024-02-01T00:00:00"/>
        <d v="2024-03-01T00:00:00"/>
        <d v="2024-04-01T00:00:00"/>
        <d v="2024-05-01T00:00:00"/>
        <d v="2024-06-01T00:00:00"/>
        <d v="2024-07-01T00:00:00"/>
        <d v="2024-08-01T00:00:00"/>
        <d v="2024-09-01T00:00:00"/>
        <d v="2024-10-01T00:00:00"/>
        <d v="2024-11-01T00:00:00"/>
        <d v="2024-12-01T00:00:00"/>
        <s v="01/13/2024"/>
        <s v="01/14/2024"/>
        <s v="01/15/2024"/>
        <s v="01/16/2024"/>
        <s v="01/18/2024"/>
        <s v="01/21/2024"/>
        <s v="01/22/2024"/>
        <s v="01/23/2024"/>
        <s v="01/24/2024"/>
        <s v="01/25/2024"/>
        <s v="01/26/2024"/>
        <s v="01/27/2024"/>
        <s v="01/29/2024"/>
        <s v="01/30/2024"/>
        <s v="01/31/2024"/>
        <d v="2024-01-02T00:00:00"/>
        <d v="2024-02-02T00:00:00"/>
        <d v="2024-03-02T00:00:00"/>
        <d v="2024-05-02T00:00:00"/>
        <d v="2024-06-02T00:00:00"/>
        <d v="2024-07-02T00:00:00"/>
        <d v="2024-08-02T00:00:00"/>
        <d v="2024-10-02T00:00:00"/>
        <d v="2024-11-02T00:00:00"/>
        <d v="2024-12-02T00:00:00"/>
        <s v="02/13/2024"/>
        <s v="02/15/2024"/>
        <s v="02/16/2024"/>
        <s v="02/17/2024"/>
        <s v="02/18/2024"/>
        <s v="02/19/2024"/>
        <s v="02/21/2024"/>
        <s v="02/23/2024"/>
        <s v="02/25/2024"/>
        <s v="02/26/2024"/>
        <s v="02/28/2024"/>
        <d v="2024-01-03T00:00:00"/>
        <d v="2024-02-03T00:00:00"/>
        <d v="2024-03-03T00:00:00"/>
        <d v="2024-04-03T00:00:00"/>
        <d v="2024-06-03T00:00:00"/>
        <d v="2024-07-03T00:00:00"/>
        <d v="2024-08-03T00:00:00"/>
        <d v="2024-09-03T00:00:00"/>
        <d v="2024-10-03T00:00:00"/>
        <d v="2024-11-03T00:00:00"/>
        <d v="2024-12-03T00:00:00"/>
        <s v="03/13/2024"/>
        <s v="03/14/2024"/>
        <s v="03/15/2024"/>
        <s v="03/18/2024"/>
        <s v="03/19/2024"/>
        <s v="03/21/2024"/>
        <s v="03/22/2024"/>
        <s v="03/23/2024"/>
        <s v="03/25/2024"/>
        <s v="03/26/2024"/>
        <s v="03/27/2024"/>
        <s v="03/28/2024"/>
        <s v="03/29/2024"/>
        <s v="03/30/2024"/>
        <s v="03/31/2024"/>
        <d v="2024-01-04T00:00:00"/>
        <d v="2024-02-04T00:00:00"/>
        <d v="2024-04-04T00:00:00"/>
        <d v="2024-06-04T00:00:00"/>
        <d v="2024-07-04T00:00:00"/>
        <d v="2024-08-04T00:00:00"/>
        <d v="2024-10-04T00:00:00"/>
        <d v="2024-11-04T00:00:00"/>
        <s v="04/15/2024"/>
        <s v="04/18/2024"/>
        <s v="04/19/2024"/>
        <s v="04/20/2024"/>
        <s v="04/22/2024"/>
        <s v="04/23/2024"/>
        <s v="04/25/2024"/>
        <s v="04/26/2024"/>
        <s v="04/28/2024"/>
        <s v="04/29/2024"/>
        <s v="04/30/2024"/>
        <d v="2024-01-05T00:00:00"/>
        <d v="2024-02-05T00:00:00"/>
        <d v="2024-03-05T00:00:00"/>
        <d v="2024-05-05T00:00:00"/>
        <d v="2024-06-05T00:00:00"/>
        <d v="2024-07-05T00:00:00"/>
        <d v="2024-08-05T00:00:00"/>
        <d v="2024-09-05T00:00:00"/>
        <d v="2024-10-05T00:00:00"/>
        <d v="2024-11-05T00:00:00"/>
        <d v="2024-12-05T00:00:00"/>
        <s v="05/13/2024"/>
        <s v="05/14/2024"/>
        <s v="05/15/2024"/>
        <s v="05/16/2024"/>
        <s v="05/17/2024"/>
        <s v="05/18/2024"/>
        <s v="05/19/2024"/>
        <s v="05/20/2024"/>
        <s v="05/21/2024"/>
        <s v="05/24/2024"/>
        <s v="05/27/2024"/>
        <s v="05/28/2024"/>
        <s v="05/29/2024"/>
        <s v="05/30/2024"/>
        <s v="05/31/2024"/>
        <d v="2024-01-06T00:00:00"/>
        <d v="2024-02-06T00:00:00"/>
        <d v="2024-03-06T00:00:00"/>
        <d v="2024-04-06T00:00:00"/>
        <d v="2024-06-06T00:00:00"/>
        <d v="2024-07-06T00:00:00"/>
        <d v="2024-08-06T00:00:00"/>
        <d v="2024-09-06T00:00:00"/>
        <d v="2024-10-06T00:00:00"/>
        <d v="2024-12-06T00:00:00"/>
        <s v="06/13/2024"/>
        <s v="06/15/2024"/>
        <s v="06/16/2024"/>
        <s v="06/17/2024"/>
        <s v="06/18/2024"/>
        <s v="06/20/2024"/>
        <s v="06/21/2024"/>
        <s v="06/22/2024"/>
        <s v="06/23/2024"/>
        <s v="06/24/2024"/>
        <s v="06/25/2024"/>
        <s v="06/26/2024"/>
        <s v="06/27/2024"/>
        <s v="06/28/2024"/>
        <s v="06/29/2024"/>
        <s v="06/30/2024"/>
      </sharedItems>
    </cacheField>
    <cacheField name="Campaign Name" numFmtId="0">
      <sharedItems/>
    </cacheField>
    <cacheField name="Channel" numFmtId="0">
      <sharedItems count="5">
        <s v="Google Ads"/>
        <s v="Facebook Ads"/>
        <s v="LinkedIn Ads"/>
        <s v="Instagram Ads"/>
        <s v="Email Marketing"/>
      </sharedItems>
    </cacheField>
    <cacheField name="Campaign Type" numFmtId="0">
      <sharedItems/>
    </cacheField>
    <cacheField name="Impressions" numFmtId="0">
      <sharedItems containsSemiMixedTypes="0" containsString="0" containsNumber="1" containsInteger="1" minValue="5539" maxValue="49790"/>
    </cacheField>
    <cacheField name="Clicks" numFmtId="0">
      <sharedItems containsSemiMixedTypes="0" containsString="0" containsNumber="1" containsInteger="1" minValue="214" maxValue="1994"/>
    </cacheField>
    <cacheField name="Conversions" numFmtId="0">
      <sharedItems containsSemiMixedTypes="0" containsString="0" containsNumber="1" containsInteger="1" minValue="10" maxValue="100"/>
    </cacheField>
    <cacheField name="Spend" numFmtId="0">
      <sharedItems containsSemiMixedTypes="0" containsString="0" containsNumber="1" containsInteger="1" minValue="202" maxValue="1498"/>
    </cacheField>
    <cacheField name="CTR" numFmtId="9">
      <sharedItems containsSemiMixedTypes="0" containsString="0" containsNumber="1" minValue="5.2325297080541835E-3" maxValue="0.35493771438887883" count="157">
        <n v="5.6666666666666664E-2"/>
        <n v="4.8000000000000001E-2"/>
        <n v="2.2285714285714287E-2"/>
        <n v="0.04"/>
        <n v="4.4642857142857144E-2"/>
        <n v="0.05"/>
        <n v="6.1444444444444447E-2"/>
        <n v="3.6666666666666667E-2"/>
        <n v="4.4285714285714282E-2"/>
        <n v="3.7894736842105266E-2"/>
        <n v="0.06"/>
        <n v="3.9375E-2"/>
        <n v="0.11754329698524696"/>
        <n v="2.4701017100704145E-2"/>
        <n v="1.2095892208758039E-2"/>
        <n v="0.20151263986738499"/>
        <n v="3.4213069211257399E-2"/>
        <n v="4.804517394841365E-2"/>
        <n v="2.6349161617584896E-2"/>
        <n v="4.8123554428113106E-2"/>
        <n v="0.1280657952709649"/>
        <n v="1.9835461565638722E-2"/>
        <n v="9.5159116823883075E-2"/>
        <n v="3.1985661599972424E-2"/>
        <n v="1.5374036052851319E-2"/>
        <n v="5.6100478468899519E-2"/>
        <n v="6.4328935621466118E-2"/>
        <n v="5.6048533140166605E-2"/>
        <n v="9.7200906234013017E-3"/>
        <n v="3.8943257317292153E-2"/>
        <n v="0.10931430836305984"/>
        <n v="1.4337824445990681E-2"/>
        <n v="4.7875131164742915E-2"/>
        <n v="3.386798640510405E-2"/>
        <n v="8.5980949945662598E-3"/>
        <n v="5.019582767164895E-2"/>
        <n v="5.9518295507179249E-3"/>
        <n v="0.28656869446343131"/>
        <n v="1.3744778331761218E-2"/>
        <n v="1.377597699647105E-2"/>
        <n v="4.7211252606824336E-2"/>
        <n v="8.3833692081114755E-2"/>
        <n v="1.516429746488379E-2"/>
        <n v="5.5632011343258687E-2"/>
        <n v="0.13226439347811381"/>
        <n v="2.6620015141284554E-2"/>
        <n v="4.880103694102398E-2"/>
        <n v="0.12595966167859465"/>
        <n v="2.5920154511335954E-2"/>
        <n v="4.9103287100543618E-2"/>
        <n v="0.12334004024144869"/>
        <n v="1.781362165994594E-2"/>
        <n v="6.0625535561268207E-2"/>
        <n v="3.2191338073691012E-2"/>
        <n v="2.8112449799196786E-2"/>
        <n v="4.4120940649496079E-2"/>
        <n v="1.2794080266613946E-2"/>
        <n v="6.2296173044925122E-2"/>
        <n v="5.2102579262434411E-2"/>
        <n v="0.18668166939443534"/>
        <n v="4.5043478260869567E-2"/>
        <n v="1.2642360862402406E-2"/>
        <n v="3.2486192806789098E-2"/>
        <n v="8.5292679674652205E-2"/>
        <n v="2.7888623849120539E-2"/>
        <n v="5.0481481481481481E-2"/>
        <n v="2.7280595464774106E-2"/>
        <n v="3.2068872746838846E-2"/>
        <n v="1.270857982130472E-2"/>
        <n v="2.7817528184007539E-2"/>
        <n v="6.1554244678122599E-3"/>
        <n v="8.917803871786735E-2"/>
        <n v="3.1872188489702052E-2"/>
        <n v="2.7192854310578708E-2"/>
        <n v="3.3659683294154114E-2"/>
        <n v="5.2325297080541835E-3"/>
        <n v="1.92466318394281E-2"/>
        <n v="3.7888009738283629E-2"/>
        <n v="4.9472535467442708E-2"/>
        <n v="2.7440594423600383E-2"/>
        <n v="5.0059413180585599E-2"/>
        <n v="3.1676645466034103E-2"/>
        <n v="3.9739456543193628E-2"/>
        <n v="3.4397920341658159E-2"/>
        <n v="6.9767441860465115E-2"/>
        <n v="3.9558316686057998E-2"/>
        <n v="2.4923292243096303E-2"/>
        <n v="5.0586723058423516E-2"/>
        <n v="9.5617745959431608E-2"/>
        <n v="6.857494613727301E-2"/>
        <n v="1.6486669797047007E-2"/>
        <n v="5.5509833413741237E-2"/>
        <n v="4.0173926961346598E-2"/>
        <n v="1.2753942236366682E-2"/>
        <n v="2.2340145423612096E-2"/>
        <n v="2.8178963893249608E-2"/>
        <n v="8.6983535259397324E-2"/>
        <n v="0.10769655172413793"/>
        <n v="4.4695249443557634E-2"/>
        <n v="1.5547211792518426E-2"/>
        <n v="8.796947178148223E-3"/>
        <n v="8.5935649761477821E-3"/>
        <n v="0.10813284518828452"/>
        <n v="3.7768958721416807E-2"/>
        <n v="7.1368376698620034E-2"/>
        <n v="0.10145335208626348"/>
        <n v="5.6825396825396828E-2"/>
        <n v="3.6128347485303726E-2"/>
        <n v="0.35493771438887883"/>
        <n v="7.4912891986062713E-2"/>
        <n v="4.1882935398866089E-2"/>
        <n v="9.6529533440588376E-3"/>
        <n v="1.3949994634617447E-2"/>
        <n v="2.0123110902063437E-2"/>
        <n v="1.8724838498267952E-2"/>
        <n v="9.1189226204063001E-2"/>
        <n v="7.0611565565352877E-2"/>
        <n v="1.7172322820482071E-2"/>
        <n v="3.4086456836881288E-2"/>
        <n v="2.8377544725478099E-2"/>
        <n v="0.12807782623280778"/>
        <n v="0.14382530120481929"/>
        <n v="4.9736482529767714E-2"/>
        <n v="1.7367949865711729E-2"/>
        <n v="4.5792859846095622E-2"/>
        <n v="3.1390746553841956E-2"/>
        <n v="6.2798437273911156E-2"/>
        <n v="1.8235319386571587E-2"/>
        <n v="6.7509995411942064E-3"/>
        <n v="3.7650316240940306E-2"/>
        <n v="3.3825246205884993E-2"/>
        <n v="8.4701942727698036E-3"/>
        <n v="3.0595718366265203E-2"/>
        <n v="7.0480769230769236E-2"/>
        <n v="4.6928028086600349E-2"/>
        <n v="6.0905069751616199E-2"/>
        <n v="2.7699984724273131E-2"/>
        <n v="1.6154556244230515E-2"/>
        <n v="1.7359273881720868E-2"/>
        <n v="3.570382663022257E-2"/>
        <n v="0.1565204416592062"/>
        <n v="9.3179404611010239E-3"/>
        <n v="3.9668404520578994E-2"/>
        <n v="9.5998790566418062E-3"/>
        <n v="3.4092416537696221E-2"/>
        <n v="6.2389818119275915E-2"/>
        <n v="6.7039489484338008E-2"/>
        <n v="3.6068077239938115E-2"/>
        <n v="4.5326971653101317E-2"/>
        <n v="4.1213165244172997E-2"/>
        <n v="0.12318316343308122"/>
        <n v="1.3443607101800996E-2"/>
        <n v="8.0917213712618521E-2"/>
        <n v="1.6971754152018428E-2"/>
        <n v="4.5257928170650323E-2"/>
        <n v="1.0085224312892001E-2"/>
        <n v="2.7602915596786216E-2"/>
      </sharedItems>
    </cacheField>
    <cacheField name="CPC" numFmtId="164">
      <sharedItems containsSemiMixedTypes="0" containsString="0" containsNumber="1" minValue="0.15296640457469621" maxValue="5.5488721804511281" count="167">
        <n v="0.76470588235294112"/>
        <n v="0.35"/>
        <n v="0.48717948717948717"/>
        <n v="0.3125"/>
        <n v="0.57599999999999996"/>
        <n v="0.18387096774193548"/>
        <n v="0.50595238095238093"/>
        <n v="0.30592105263157893"/>
        <n v="0.56057866184448468"/>
        <n v="0.26153846153846155"/>
        <n v="0.67105263157894735"/>
        <n v="0.36603773584905658"/>
        <n v="0.55757575757575761"/>
        <n v="0.36206896551724138"/>
        <n v="0.53296703296703296"/>
        <n v="0.32537313432835818"/>
        <n v="0.36827956989247312"/>
        <n v="0.20357142857142857"/>
        <n v="0.43402777777777779"/>
        <n v="0.28518518518518521"/>
        <n v="0.55158730158730163"/>
        <n v="0.32285714285714284"/>
        <n v="1.0750341064120055"/>
        <n v="0.86696832579185523"/>
        <n v="1.2350813743218807"/>
        <n v="0.1532133676092545"/>
        <n v="0.32480141218005298"/>
        <n v="0.49103585657370519"/>
        <n v="0.21836007130124777"/>
        <n v="0.9147286821705426"/>
        <n v="1.3967889908256881"/>
        <n v="0.45674300254452926"/>
        <n v="0.81590413943355122"/>
        <n v="0.32650862068965519"/>
        <n v="1.976038338658147"/>
        <n v="1.8550106609808101"/>
        <n v="1.1148804934464147"/>
        <n v="1.431340872374798"/>
        <n v="5.5488721804511281"/>
        <n v="0.4265129682997118"/>
        <n v="0.7831762146482959"/>
        <n v="1.3794117647058823"/>
        <n v="1.0986301369863014"/>
        <n v="1.6461267605633803"/>
        <n v="0.96282527881040891"/>
        <n v="1.5079617834394905"/>
        <n v="3.5603112840466924"/>
        <n v="0.45438282647584971"/>
        <n v="1.4436274509803921"/>
        <n v="0.89184060721062619"/>
        <n v="0.42105263157894735"/>
        <n v="0.91081081081081083"/>
        <n v="0.80528511821974968"/>
        <n v="1.0142428785607196"/>
        <n v="0.26803069053708439"/>
        <n v="0.92544196771714071"/>
        <n v="0.44156706507304117"/>
        <n v="0.20867768595041322"/>
        <n v="1.2557154953429297"/>
        <n v="0.39472322814278321"/>
        <n v="0.57993474714518756"/>
        <n v="1.6828358208955223"/>
        <n v="1.0989399293286219"/>
        <n v="1.8835341365461848"/>
        <n v="1.9776785714285714"/>
        <n v="2.8934010152284264"/>
        <n v="0.8741721854304636"/>
        <n v="0.32692307692307693"/>
        <n v="0.6333333333333333"/>
        <n v="0.76438356164383559"/>
        <n v="0.25637065637065637"/>
        <n v="3.6515580736543911"/>
        <n v="0.95300621976503108"/>
        <n v="0.40802501302761857"/>
        <n v="0.31095123900879296"/>
        <n v="0.53484959647835661"/>
        <n v="1.5114213197969544"/>
        <n v="0.98741610738255037"/>
        <n v="1.8346709470304976"/>
        <n v="1.1731493099121706"/>
        <n v="2.4886363636363638"/>
        <n v="0.59684799186578541"/>
        <n v="0.939873417721519"/>
        <n v="0.63852647735993862"/>
        <n v="0.39984650805832694"/>
        <n v="4.7149532710280377"/>
        <n v="0.22197802197802197"/>
        <n v="0.45140562248995986"/>
        <n v="0.57107843137254899"/>
        <n v="0.76809651474530827"/>
        <n v="0.17589774802191113"/>
        <n v="0.80640941792020926"/>
        <n v="0.18487858719646799"/>
        <n v="0.93454790823211875"/>
        <n v="0.48301886792452831"/>
        <n v="0.25804661487236402"/>
        <n v="1.2721382289416847"/>
        <n v="0.7680327868852459"/>
        <n v="0.63017583664208732"/>
        <n v="0.62208258527827653"/>
        <n v="0.84968354430379744"/>
        <n v="0.3885480572597137"/>
        <n v="0.19787516600265603"/>
        <n v="0.44652908067542213"/>
        <n v="1.2574796010879419"/>
        <n v="1.6922005571030641"/>
        <n v="0.71011904761904765"/>
        <n v="0.61526639344262291"/>
        <n v="0.72283702213279677"/>
        <n v="1.0983899821109124"/>
        <n v="1.7374429223744292"/>
        <n v="2.8818897637795278"/>
        <n v="0.43047158403869407"/>
        <n v="0.15296640457469621"/>
        <n v="0.98450184501845017"/>
        <n v="1.3419593345656193"/>
        <n v="0.85963687150837986"/>
        <n v="0.72994350282485876"/>
        <n v="0.71464903357070197"/>
        <n v="0.30888491353607633"/>
        <n v="1.2535748331744518"/>
        <n v="2.6785714285714284"/>
        <n v="1.9846153846153847"/>
        <n v="0.21747967479674796"/>
        <n v="1.0287500000000001"/>
        <n v="0.52941176470588236"/>
        <n v="0.28535606820461384"/>
        <n v="1.5558659217877095"/>
        <n v="0.74521072796934862"/>
        <n v="0.76505016722408026"/>
        <n v="0.63645887899423781"/>
        <n v="1.2952879581151833"/>
        <n v="0.20957613814756673"/>
        <n v="1.4239690721649485"/>
        <n v="3.4765840220385673"/>
        <n v="2.1565217391304348"/>
        <n v="0.72811059907834097"/>
        <n v="1.0376914016489989"/>
        <n v="0.87378640776699024"/>
        <n v="0.78658976207642395"/>
        <n v="1.0805309734513275"/>
        <n v="4.2936046511627906"/>
        <n v="1.3474494706448508"/>
        <n v="1.1268758526603002"/>
        <n v="1.0660847880299251"/>
        <n v="0.37350359138068634"/>
        <n v="1.197610294117647"/>
        <n v="2.8183673469387753"/>
        <n v="0.27667057444314186"/>
        <n v="0.22214627477785373"/>
        <n v="0.19256434699714015"/>
        <n v="2.3272058823529411"/>
        <n v="0.68571428571428572"/>
        <n v="1.2493438320209973"/>
        <n v="0.65239948119325553"/>
        <n v="0.43349414197105446"/>
        <n v="0.52047082906857722"/>
        <n v="0.65459610027855153"/>
        <n v="0.72291021671826627"/>
        <n v="0.44458518049398354"/>
        <n v="0.74906567004805125"/>
        <n v="3.3800475059382422"/>
        <n v="0.77746478873239433"/>
        <n v="1.6333333333333333"/>
        <n v="0.69470234844347356"/>
        <n v="2.3202479338842976"/>
        <n v="0.90322580645161288"/>
      </sharedItems>
    </cacheField>
    <cacheField name="CPA" numFmtId="164">
      <sharedItems containsSemiMixedTypes="0" containsString="0" containsNumber="1" minValue="2.6979166666666665" maxValue="110.5"/>
    </cacheField>
    <cacheField name="ROAS" numFmtId="2">
      <sharedItems containsSemiMixedTypes="0" containsString="0" containsNumber="1" minValue="1.1131221719457014" maxValue="50.561797752808985"/>
    </cacheField>
    <cacheField name="Revenue" numFmtId="0">
      <sharedItems containsSemiMixedTypes="0" containsString="0" containsNumber="1" containsInteger="1" minValue="1230" maxValue="14250"/>
    </cacheField>
  </cacheFields>
  <extLst>
    <ext xmlns:x14="http://schemas.microsoft.com/office/spreadsheetml/2009/9/main" uri="{725AE2AE-9491-48be-B2B4-4EB974FC3084}">
      <x14:pivotCacheDefinition pivotCacheId="10943654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naga" refreshedDate="45840.790032175923" createdVersion="8" refreshedVersion="8" minRefreshableVersion="3" recordCount="167" xr:uid="{EE868801-AD7F-4193-A329-DA7C4714F837}">
  <cacheSource type="worksheet">
    <worksheetSource ref="A1:N168" sheet="Raw_Data"/>
  </cacheSource>
  <cacheFields count="14">
    <cacheField name="Date" numFmtId="14">
      <sharedItems containsSemiMixedTypes="0" containsNonDate="0" containsDate="1" containsString="0" minDate="2024-01-01T00:00:00" maxDate="2024-12-07T00:00:00"/>
    </cacheField>
    <cacheField name="Campaign Name" numFmtId="0">
      <sharedItems/>
    </cacheField>
    <cacheField name="Channel" numFmtId="0">
      <sharedItems count="5">
        <s v="Google Ads"/>
        <s v="Facebook Ads"/>
        <s v="LinkedIn Ads"/>
        <s v="Instagram Ads"/>
        <s v="Email Marketing"/>
      </sharedItems>
    </cacheField>
    <cacheField name="Campaign Type" numFmtId="0">
      <sharedItems/>
    </cacheField>
    <cacheField name="Impressions" numFmtId="0">
      <sharedItems containsSemiMixedTypes="0" containsString="0" containsNumber="1" containsInteger="1" minValue="5539" maxValue="49790"/>
    </cacheField>
    <cacheField name="Clicks" numFmtId="0">
      <sharedItems containsSemiMixedTypes="0" containsString="0" containsNumber="1" containsInteger="1" minValue="214" maxValue="1994"/>
    </cacheField>
    <cacheField name="Conversions" numFmtId="0">
      <sharedItems containsSemiMixedTypes="0" containsString="0" containsNumber="1" containsInteger="1" minValue="10" maxValue="100"/>
    </cacheField>
    <cacheField name="Spend" numFmtId="0">
      <sharedItems containsSemiMixedTypes="0" containsString="0" containsNumber="1" containsInteger="1" minValue="202" maxValue="1498"/>
    </cacheField>
    <cacheField name="CTR" numFmtId="9">
      <sharedItems containsSemiMixedTypes="0" containsString="0" containsNumber="1" minValue="5.2325297080541835E-3" maxValue="0.35493771438887883"/>
    </cacheField>
    <cacheField name="CPC" numFmtId="164">
      <sharedItems containsSemiMixedTypes="0" containsString="0" containsNumber="1" minValue="0.15296640457469621" maxValue="5.5488721804511281"/>
    </cacheField>
    <cacheField name="CPA" numFmtId="164">
      <sharedItems containsSemiMixedTypes="0" containsString="0" containsNumber="1" minValue="2.6979166666666665" maxValue="110.5"/>
    </cacheField>
    <cacheField name="ROAS" numFmtId="2">
      <sharedItems containsSemiMixedTypes="0" containsString="0" containsNumber="1" minValue="1.1131221719457014" maxValue="50.561797752808985"/>
    </cacheField>
    <cacheField name="Revenue" numFmtId="0">
      <sharedItems containsSemiMixedTypes="0" containsString="0" containsNumber="1" containsInteger="1" minValue="1230" maxValue="14250"/>
    </cacheField>
    <cacheField name="Month"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81961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
  <r>
    <x v="0"/>
    <s v="New Year Sale - Search"/>
    <x v="0"/>
    <s v="Search"/>
    <n v="15000"/>
    <n v="850"/>
    <n v="45"/>
    <n v="650"/>
    <x v="0"/>
    <x v="0"/>
    <n v="14.444444444444445"/>
    <n v="8.3769230769230774"/>
    <n v="5445"/>
  </r>
  <r>
    <x v="0"/>
    <s v="New Year Sale - Social"/>
    <x v="1"/>
    <s v="Video"/>
    <n v="25000"/>
    <n v="1200"/>
    <n v="38"/>
    <n v="420"/>
    <x v="1"/>
    <x v="1"/>
    <n v="11.052631578947368"/>
    <n v="8.4142857142857146"/>
    <n v="3534"/>
  </r>
  <r>
    <x v="1"/>
    <s v="Brand Awareness - Display"/>
    <x v="0"/>
    <s v="Display"/>
    <n v="35000"/>
    <n v="780"/>
    <n v="22"/>
    <n v="380"/>
    <x v="2"/>
    <x v="2"/>
    <n v="17.272727272727273"/>
    <n v="5.5578947368421057"/>
    <n v="2112"/>
  </r>
  <r>
    <x v="1"/>
    <s v="Retargeting Campaign"/>
    <x v="1"/>
    <s v="Display"/>
    <n v="22000"/>
    <n v="880"/>
    <n v="41"/>
    <n v="275"/>
    <x v="3"/>
    <x v="3"/>
    <n v="6.7073170731707314"/>
    <n v="15.952727272727273"/>
    <n v="4387"/>
  </r>
  <r>
    <x v="2"/>
    <s v="Shopping Campaign"/>
    <x v="0"/>
    <s v="Shopping"/>
    <n v="28000"/>
    <n v="1250"/>
    <n v="65"/>
    <n v="720"/>
    <x v="4"/>
    <x v="4"/>
    <n v="11.076923076923077"/>
    <n v="10.111111111111111"/>
    <n v="7280"/>
  </r>
  <r>
    <x v="2"/>
    <s v="Engagement Campaign"/>
    <x v="1"/>
    <s v="Engagement"/>
    <n v="31000"/>
    <n v="1550"/>
    <n v="28"/>
    <n v="285"/>
    <x v="5"/>
    <x v="5"/>
    <n v="10.178571428571429"/>
    <n v="14.638596491228069"/>
    <n v="4172"/>
  </r>
  <r>
    <x v="3"/>
    <s v="Mobile App Install"/>
    <x v="0"/>
    <s v="App"/>
    <n v="42000"/>
    <n v="1680"/>
    <n v="85"/>
    <n v="850"/>
    <x v="3"/>
    <x v="6"/>
    <n v="10"/>
    <n v="10.5"/>
    <n v="8925"/>
  </r>
  <r>
    <x v="3"/>
    <s v="Video Marketing"/>
    <x v="1"/>
    <s v="Video"/>
    <n v="38000"/>
    <n v="1520"/>
    <n v="55"/>
    <n v="465"/>
    <x v="3"/>
    <x v="7"/>
    <n v="8.454545454545455"/>
    <n v="13.483870967741936"/>
    <n v="6270"/>
  </r>
  <r>
    <x v="4"/>
    <s v="Brand Keywords"/>
    <x v="0"/>
    <s v="Search"/>
    <n v="18000"/>
    <n v="1106"/>
    <n v="62"/>
    <n v="620"/>
    <x v="6"/>
    <x v="8"/>
    <n v="10"/>
    <n v="9.1"/>
    <n v="5642"/>
  </r>
  <r>
    <x v="4"/>
    <s v="Event Promotion"/>
    <x v="1"/>
    <s v="Event"/>
    <n v="19500"/>
    <n v="975"/>
    <n v="32"/>
    <n v="255"/>
    <x v="5"/>
    <x v="9"/>
    <n v="7.96875"/>
    <n v="17.066666666666666"/>
    <n v="4352"/>
  </r>
  <r>
    <x v="5"/>
    <s v="Competitor Keywords"/>
    <x v="0"/>
    <s v="Search"/>
    <n v="28500"/>
    <n v="1140"/>
    <n v="48"/>
    <n v="765"/>
    <x v="3"/>
    <x v="10"/>
    <n v="15.9375"/>
    <n v="9.0980392156862742"/>
    <n v="6960"/>
  </r>
  <r>
    <x v="5"/>
    <s v="Lookalike Audience"/>
    <x v="1"/>
    <s v="Lookalike"/>
    <n v="26500"/>
    <n v="1325"/>
    <n v="48"/>
    <n v="485"/>
    <x v="5"/>
    <x v="11"/>
    <n v="10.104166666666666"/>
    <n v="11.876288659793815"/>
    <n v="5760"/>
  </r>
  <r>
    <x v="6"/>
    <s v="Performance Max"/>
    <x v="0"/>
    <s v="Performance Max"/>
    <n v="45000"/>
    <n v="1650"/>
    <n v="88"/>
    <n v="920"/>
    <x v="7"/>
    <x v="12"/>
    <n v="10.454545454545455"/>
    <n v="8.8000000000000007"/>
    <n v="8096"/>
  </r>
  <r>
    <x v="6"/>
    <s v="Custom Audience"/>
    <x v="1"/>
    <s v="Custom"/>
    <n v="29000"/>
    <n v="1450"/>
    <n v="52"/>
    <n v="525"/>
    <x v="5"/>
    <x v="13"/>
    <n v="10.096153846153847"/>
    <n v="8.5180952380952384"/>
    <n v="4472"/>
  </r>
  <r>
    <x v="7"/>
    <s v="Local Services"/>
    <x v="0"/>
    <s v="Local"/>
    <n v="18200"/>
    <n v="910"/>
    <n v="42"/>
    <n v="485"/>
    <x v="5"/>
    <x v="14"/>
    <n v="11.547619047619047"/>
    <n v="9.6989690721649477"/>
    <n v="4704"/>
  </r>
  <r>
    <x v="7"/>
    <s v="Interest Targeting"/>
    <x v="1"/>
    <s v="Interest"/>
    <n v="33500"/>
    <n v="1675"/>
    <n v="58"/>
    <n v="545"/>
    <x v="5"/>
    <x v="15"/>
    <n v="9.3965517241379306"/>
    <n v="9.6844036697247713"/>
    <n v="5278"/>
  </r>
  <r>
    <x v="8"/>
    <s v="YouTube Ads"/>
    <x v="0"/>
    <s v="Video"/>
    <n v="42000"/>
    <n v="1860"/>
    <n v="78"/>
    <n v="685"/>
    <x v="8"/>
    <x v="16"/>
    <n v="8.7820512820512828"/>
    <n v="15.030656934306569"/>
    <n v="10296"/>
  </r>
  <r>
    <x v="8"/>
    <s v="Page Like Campaign"/>
    <x v="1"/>
    <s v="Page Likes"/>
    <n v="28000"/>
    <n v="1400"/>
    <n v="25"/>
    <n v="285"/>
    <x v="5"/>
    <x v="17"/>
    <n v="11.4"/>
    <n v="8.5087719298245617"/>
    <n v="2425"/>
  </r>
  <r>
    <x v="9"/>
    <s v="Discovery Ads"/>
    <x v="0"/>
    <s v="Discovery"/>
    <n v="38000"/>
    <n v="1440"/>
    <n v="62"/>
    <n v="625"/>
    <x v="9"/>
    <x v="18"/>
    <n v="10.080645161290322"/>
    <n v="8.3328000000000007"/>
    <n v="5208"/>
  </r>
  <r>
    <x v="9"/>
    <s v="Messenger Ads"/>
    <x v="1"/>
    <s v="Messenger"/>
    <n v="22500"/>
    <n v="1350"/>
    <n v="42"/>
    <n v="385"/>
    <x v="10"/>
    <x v="19"/>
    <n v="9.1666666666666661"/>
    <n v="15.054545454545455"/>
    <n v="5796"/>
  </r>
  <r>
    <x v="10"/>
    <s v="Smart Shopping"/>
    <x v="0"/>
    <s v="Smart Shopping"/>
    <n v="32000"/>
    <n v="1260"/>
    <n v="68"/>
    <n v="695"/>
    <x v="11"/>
    <x v="20"/>
    <n v="10.220588235294118"/>
    <n v="11.447482014388489"/>
    <n v="7956"/>
  </r>
  <r>
    <x v="10"/>
    <s v="Instant Experience"/>
    <x v="1"/>
    <s v="Instant"/>
    <n v="35000"/>
    <n v="1750"/>
    <n v="58"/>
    <n v="565"/>
    <x v="5"/>
    <x v="21"/>
    <n v="9.7413793103448274"/>
    <n v="11.702654867256637"/>
    <n v="6612"/>
  </r>
  <r>
    <x v="0"/>
    <s v="LinkedIn Campaign 85"/>
    <x v="2"/>
    <s v="Sponsored Content"/>
    <n v="6236"/>
    <n v="733"/>
    <n v="73"/>
    <n v="788"/>
    <x v="12"/>
    <x v="22"/>
    <n v="10.794520547945206"/>
    <n v="9.4492385786802036"/>
    <n v="7446"/>
  </r>
  <r>
    <x v="1"/>
    <s v="Campaign 46"/>
    <x v="3"/>
    <s v="Photo"/>
    <n v="44735"/>
    <n v="1105"/>
    <n v="75"/>
    <n v="958"/>
    <x v="13"/>
    <x v="23"/>
    <n v="12.773333333333333"/>
    <n v="9.0031315240083511"/>
    <n v="8625"/>
  </r>
  <r>
    <x v="2"/>
    <s v="Campaign 98"/>
    <x v="1"/>
    <s v="Video"/>
    <n v="45718"/>
    <n v="553"/>
    <n v="35"/>
    <n v="683"/>
    <x v="14"/>
    <x v="24"/>
    <n v="19.514285714285716"/>
    <n v="7.5329428989751097"/>
    <n v="5145"/>
  </r>
  <r>
    <x v="3"/>
    <s v="Campaign 53"/>
    <x v="1"/>
    <s v="Video"/>
    <n v="9652"/>
    <n v="1945"/>
    <n v="46"/>
    <n v="298"/>
    <x v="15"/>
    <x v="25"/>
    <n v="6.4782608695652177"/>
    <n v="19.912751677852349"/>
    <n v="5934"/>
  </r>
  <r>
    <x v="4"/>
    <s v="Campaign 39"/>
    <x v="1"/>
    <s v="Video"/>
    <n v="33116"/>
    <n v="1133"/>
    <n v="63"/>
    <n v="368"/>
    <x v="16"/>
    <x v="26"/>
    <n v="5.8412698412698409"/>
    <n v="15.75"/>
    <n v="5796"/>
  </r>
  <r>
    <x v="5"/>
    <s v="Campaign 37"/>
    <x v="3"/>
    <s v="Photo"/>
    <n v="20897"/>
    <n v="1004"/>
    <n v="61"/>
    <n v="493"/>
    <x v="17"/>
    <x v="27"/>
    <n v="8.0819672131147549"/>
    <n v="10.393509127789047"/>
    <n v="5124"/>
  </r>
  <r>
    <x v="6"/>
    <s v="Campaign 70"/>
    <x v="3"/>
    <s v="Photo"/>
    <n v="42582"/>
    <n v="1122"/>
    <n v="74"/>
    <n v="245"/>
    <x v="18"/>
    <x v="28"/>
    <n v="3.310810810810811"/>
    <n v="35.942857142857143"/>
    <n v="8806"/>
  </r>
  <r>
    <x v="7"/>
    <s v="Campaign 65"/>
    <x v="1"/>
    <s v="Video"/>
    <n v="26806"/>
    <n v="1290"/>
    <n v="16"/>
    <n v="1180"/>
    <x v="19"/>
    <x v="29"/>
    <n v="73.75"/>
    <n v="1.8305084745762712"/>
    <n v="2160"/>
  </r>
  <r>
    <x v="8"/>
    <s v="Campaign 49"/>
    <x v="1"/>
    <s v="Video"/>
    <n v="6809"/>
    <n v="872"/>
    <n v="43"/>
    <n v="1218"/>
    <x v="20"/>
    <x v="30"/>
    <n v="28.325581395348838"/>
    <n v="3.4950738916256157"/>
    <n v="4257"/>
  </r>
  <r>
    <x v="9"/>
    <s v="Campaign 80"/>
    <x v="1"/>
    <s v="Video"/>
    <n v="39626"/>
    <n v="786"/>
    <n v="63"/>
    <n v="359"/>
    <x v="21"/>
    <x v="31"/>
    <n v="5.6984126984126986"/>
    <n v="23.33983286908078"/>
    <n v="8379"/>
  </r>
  <r>
    <x v="10"/>
    <s v="Campaign 79"/>
    <x v="1"/>
    <s v="Video"/>
    <n v="19294"/>
    <n v="1836"/>
    <n v="19"/>
    <n v="1498"/>
    <x v="22"/>
    <x v="32"/>
    <n v="78.84210526315789"/>
    <n v="1.4332443257676903"/>
    <n v="2147"/>
  </r>
  <r>
    <x v="11"/>
    <s v="Campaign 46"/>
    <x v="1"/>
    <s v="Video"/>
    <n v="29013"/>
    <n v="928"/>
    <n v="92"/>
    <n v="303"/>
    <x v="23"/>
    <x v="33"/>
    <n v="3.2934782608695654"/>
    <n v="44.330033003300329"/>
    <n v="13432"/>
  </r>
  <r>
    <x v="12"/>
    <s v="Campaign 1"/>
    <x v="1"/>
    <s v="Video"/>
    <n v="40718"/>
    <n v="626"/>
    <n v="53"/>
    <n v="1237"/>
    <x v="24"/>
    <x v="34"/>
    <n v="23.339622641509433"/>
    <n v="3.4704931285367824"/>
    <n v="4293"/>
  </r>
  <r>
    <x v="13"/>
    <s v="Campaign 51"/>
    <x v="1"/>
    <s v="Video"/>
    <n v="8360"/>
    <n v="469"/>
    <n v="64"/>
    <n v="870"/>
    <x v="25"/>
    <x v="35"/>
    <n v="13.59375"/>
    <n v="7.3563218390804597"/>
    <n v="6400"/>
  </r>
  <r>
    <x v="14"/>
    <s v="LinkedIn Campaign 31"/>
    <x v="2"/>
    <s v="Sponsored Content"/>
    <n v="20162"/>
    <n v="1297"/>
    <n v="22"/>
    <n v="1446"/>
    <x v="26"/>
    <x v="36"/>
    <n v="65.727272727272734"/>
    <n v="2.190871369294606"/>
    <n v="3168"/>
  </r>
  <r>
    <x v="15"/>
    <s v="Campaign 87"/>
    <x v="3"/>
    <s v="Photo"/>
    <n v="11044"/>
    <n v="619"/>
    <n v="22"/>
    <n v="886"/>
    <x v="27"/>
    <x v="37"/>
    <n v="40.272727272727273"/>
    <n v="3.6749435665914221"/>
    <n v="3256"/>
  </r>
  <r>
    <x v="16"/>
    <s v="Campaign 85"/>
    <x v="1"/>
    <s v="Video"/>
    <n v="27366"/>
    <n v="266"/>
    <n v="30"/>
    <n v="1476"/>
    <x v="28"/>
    <x v="38"/>
    <n v="49.2"/>
    <n v="2.9878048780487805"/>
    <n v="4410"/>
  </r>
  <r>
    <x v="17"/>
    <s v="Campaign 68"/>
    <x v="1"/>
    <s v="Video"/>
    <n v="44552"/>
    <n v="1735"/>
    <n v="67"/>
    <n v="740"/>
    <x v="29"/>
    <x v="39"/>
    <n v="11.044776119402986"/>
    <n v="10.14054054054054"/>
    <n v="7504"/>
  </r>
  <r>
    <x v="18"/>
    <s v="LinkedIn Campaign 92"/>
    <x v="2"/>
    <s v="Sponsored Content"/>
    <n v="12615"/>
    <n v="1379"/>
    <n v="53"/>
    <n v="1080"/>
    <x v="30"/>
    <x v="40"/>
    <n v="20.377358490566039"/>
    <n v="4.3675925925925929"/>
    <n v="4717"/>
  </r>
  <r>
    <x v="19"/>
    <s v="Campaign 36"/>
    <x v="1"/>
    <s v="Video"/>
    <n v="47427"/>
    <n v="680"/>
    <n v="30"/>
    <n v="938"/>
    <x v="31"/>
    <x v="41"/>
    <n v="31.266666666666666"/>
    <n v="3.7739872068230276"/>
    <n v="3540"/>
  </r>
  <r>
    <x v="20"/>
    <s v="Campaign 37"/>
    <x v="1"/>
    <s v="Video"/>
    <n v="22872"/>
    <n v="1095"/>
    <n v="88"/>
    <n v="1203"/>
    <x v="32"/>
    <x v="42"/>
    <n v="13.670454545454545"/>
    <n v="7.7539484621778882"/>
    <n v="9328"/>
  </r>
  <r>
    <x v="21"/>
    <s v="Campaign 22"/>
    <x v="3"/>
    <s v="Photo"/>
    <n v="16771"/>
    <n v="568"/>
    <n v="93"/>
    <n v="935"/>
    <x v="33"/>
    <x v="43"/>
    <n v="10.053763440860216"/>
    <n v="14.919786096256685"/>
    <n v="13950"/>
  </r>
  <r>
    <x v="22"/>
    <s v="Campaign 91"/>
    <x v="1"/>
    <s v="Video"/>
    <n v="31286"/>
    <n v="269"/>
    <n v="96"/>
    <n v="259"/>
    <x v="34"/>
    <x v="44"/>
    <n v="2.6979166666666665"/>
    <n v="35.953667953667953"/>
    <n v="9312"/>
  </r>
  <r>
    <x v="23"/>
    <s v="Campaign 76"/>
    <x v="1"/>
    <s v="Video"/>
    <n v="12511"/>
    <n v="628"/>
    <n v="10"/>
    <n v="947"/>
    <x v="35"/>
    <x v="45"/>
    <n v="94.7"/>
    <n v="1.3093980992608236"/>
    <n v="1240"/>
  </r>
  <r>
    <x v="24"/>
    <s v="LinkedIn Campaign 63"/>
    <x v="2"/>
    <s v="Sponsored Content"/>
    <n v="43180"/>
    <n v="257"/>
    <n v="64"/>
    <n v="915"/>
    <x v="36"/>
    <x v="46"/>
    <n v="14.296875"/>
    <n v="9.3027322404371589"/>
    <n v="8512"/>
  </r>
  <r>
    <x v="25"/>
    <s v="Campaign 17"/>
    <x v="1"/>
    <s v="Video"/>
    <n v="5852"/>
    <n v="1677"/>
    <n v="67"/>
    <n v="762"/>
    <x v="37"/>
    <x v="47"/>
    <n v="11.373134328358208"/>
    <n v="8.528871391076116"/>
    <n v="6499"/>
  </r>
  <r>
    <x v="26"/>
    <s v="Campaign 88"/>
    <x v="3"/>
    <s v="Photo"/>
    <n v="29684"/>
    <n v="408"/>
    <n v="72"/>
    <n v="589"/>
    <x v="38"/>
    <x v="48"/>
    <n v="8.1805555555555554"/>
    <n v="16.013582342954159"/>
    <n v="9432"/>
  </r>
  <r>
    <x v="27"/>
    <s v="Campaign 57"/>
    <x v="1"/>
    <s v="Video"/>
    <n v="38255"/>
    <n v="527"/>
    <n v="27"/>
    <n v="470"/>
    <x v="39"/>
    <x v="49"/>
    <n v="17.407407407407408"/>
    <n v="4.8255319148936167"/>
    <n v="2268"/>
  </r>
  <r>
    <x v="28"/>
    <s v="Campaign 10"/>
    <x v="3"/>
    <s v="Photo"/>
    <n v="22537"/>
    <n v="1064"/>
    <n v="48"/>
    <n v="448"/>
    <x v="40"/>
    <x v="50"/>
    <n v="9.3333333333333339"/>
    <n v="9.1071428571428577"/>
    <n v="4080"/>
  </r>
  <r>
    <x v="29"/>
    <s v="Campaign 49"/>
    <x v="1"/>
    <s v="Video"/>
    <n v="17654"/>
    <n v="1480"/>
    <n v="94"/>
    <n v="1348"/>
    <x v="41"/>
    <x v="51"/>
    <n v="14.340425531914894"/>
    <n v="8.646884272997033"/>
    <n v="11656"/>
  </r>
  <r>
    <x v="30"/>
    <s v="LinkedIn Campaign 12"/>
    <x v="2"/>
    <s v="Sponsored Content"/>
    <n v="47414"/>
    <n v="719"/>
    <n v="48"/>
    <n v="579"/>
    <x v="42"/>
    <x v="52"/>
    <n v="12.0625"/>
    <n v="10.94300518134715"/>
    <n v="6336"/>
  </r>
  <r>
    <x v="31"/>
    <s v="Campaign 17"/>
    <x v="1"/>
    <s v="Video"/>
    <n v="23979"/>
    <n v="1334"/>
    <n v="44"/>
    <n v="1353"/>
    <x v="43"/>
    <x v="53"/>
    <n v="30.75"/>
    <n v="4"/>
    <n v="5412"/>
  </r>
  <r>
    <x v="32"/>
    <s v="Campaign 23"/>
    <x v="3"/>
    <s v="Photo"/>
    <n v="14781"/>
    <n v="1955"/>
    <n v="87"/>
    <n v="524"/>
    <x v="44"/>
    <x v="54"/>
    <n v="6.0229885057471266"/>
    <n v="22.414122137404579"/>
    <n v="11745"/>
  </r>
  <r>
    <x v="33"/>
    <s v="Campaign 75"/>
    <x v="1"/>
    <s v="Video"/>
    <n v="48873"/>
    <n v="1301"/>
    <n v="97"/>
    <n v="1204"/>
    <x v="45"/>
    <x v="55"/>
    <n v="12.412371134020619"/>
    <n v="6.0423588039867111"/>
    <n v="7275"/>
  </r>
  <r>
    <x v="34"/>
    <s v="Campaign 95"/>
    <x v="3"/>
    <s v="Photo"/>
    <n v="30860"/>
    <n v="1506"/>
    <n v="14"/>
    <n v="665"/>
    <x v="46"/>
    <x v="56"/>
    <n v="47.5"/>
    <n v="2.1263157894736842"/>
    <n v="1414"/>
  </r>
  <r>
    <x v="35"/>
    <s v="Campaign 29"/>
    <x v="1"/>
    <s v="Video"/>
    <n v="7685"/>
    <n v="968"/>
    <n v="53"/>
    <n v="202"/>
    <x v="47"/>
    <x v="57"/>
    <n v="3.8113207547169812"/>
    <n v="33.059405940594061"/>
    <n v="6678"/>
  </r>
  <r>
    <x v="36"/>
    <s v="Campaign 43"/>
    <x v="1"/>
    <s v="Video"/>
    <n v="45563"/>
    <n v="1181"/>
    <n v="29"/>
    <n v="1483"/>
    <x v="48"/>
    <x v="58"/>
    <n v="51.137931034482762"/>
    <n v="1.7208361429534726"/>
    <n v="2552"/>
  </r>
  <r>
    <x v="37"/>
    <s v="Campaign 15"/>
    <x v="1"/>
    <s v="Video"/>
    <n v="39366"/>
    <n v="1933"/>
    <n v="62"/>
    <n v="763"/>
    <x v="49"/>
    <x v="59"/>
    <n v="12.306451612903226"/>
    <n v="10.157273918741808"/>
    <n v="7750"/>
  </r>
  <r>
    <x v="38"/>
    <s v="Campaign 61"/>
    <x v="1"/>
    <s v="Video"/>
    <n v="9940"/>
    <n v="1226"/>
    <n v="72"/>
    <n v="711"/>
    <x v="50"/>
    <x v="60"/>
    <n v="9.875"/>
    <n v="8.3037974683544302"/>
    <n v="5904"/>
  </r>
  <r>
    <x v="39"/>
    <s v="Campaign 64"/>
    <x v="1"/>
    <s v="Video"/>
    <n v="45134"/>
    <n v="804"/>
    <n v="39"/>
    <n v="1353"/>
    <x v="51"/>
    <x v="61"/>
    <n v="34.692307692307693"/>
    <n v="3.0266075388026605"/>
    <n v="4095"/>
  </r>
  <r>
    <x v="40"/>
    <s v="Campaign 44"/>
    <x v="3"/>
    <s v="Photo"/>
    <n v="18672"/>
    <n v="1132"/>
    <n v="17"/>
    <n v="1244"/>
    <x v="52"/>
    <x v="62"/>
    <n v="73.17647058823529"/>
    <n v="1.7491961414790997"/>
    <n v="2176"/>
  </r>
  <r>
    <x v="41"/>
    <s v="Campaign 90"/>
    <x v="1"/>
    <s v="Video"/>
    <n v="7735"/>
    <n v="249"/>
    <n v="20"/>
    <n v="469"/>
    <x v="53"/>
    <x v="63"/>
    <n v="23.45"/>
    <n v="5.4157782515991473"/>
    <n v="2540"/>
  </r>
  <r>
    <x v="42"/>
    <s v="Campaign 10"/>
    <x v="1"/>
    <s v="Video"/>
    <n v="15936"/>
    <n v="448"/>
    <n v="79"/>
    <n v="886"/>
    <x v="54"/>
    <x v="64"/>
    <n v="11.215189873417721"/>
    <n v="13.107223476297968"/>
    <n v="11613"/>
  </r>
  <r>
    <x v="43"/>
    <s v="Campaign 19"/>
    <x v="1"/>
    <s v="Video"/>
    <n v="8930"/>
    <n v="394"/>
    <n v="87"/>
    <n v="1140"/>
    <x v="55"/>
    <x v="65"/>
    <n v="13.103448275862069"/>
    <n v="7.5552631578947365"/>
    <n v="8613"/>
  </r>
  <r>
    <x v="44"/>
    <s v="Campaign 16"/>
    <x v="1"/>
    <s v="Video"/>
    <n v="35407"/>
    <n v="453"/>
    <n v="17"/>
    <n v="396"/>
    <x v="56"/>
    <x v="66"/>
    <n v="23.294117647058822"/>
    <n v="5.108585858585859"/>
    <n v="2023"/>
  </r>
  <r>
    <x v="45"/>
    <s v="Campaign 89"/>
    <x v="3"/>
    <s v="Photo"/>
    <n v="15025"/>
    <n v="936"/>
    <n v="95"/>
    <n v="306"/>
    <x v="57"/>
    <x v="67"/>
    <n v="3.2210526315789472"/>
    <n v="26.078431372549019"/>
    <n v="7980"/>
  </r>
  <r>
    <x v="46"/>
    <s v="LinkedIn Campaign 23"/>
    <x v="2"/>
    <s v="Sponsored Content"/>
    <n v="27062"/>
    <n v="1410"/>
    <n v="61"/>
    <n v="893"/>
    <x v="58"/>
    <x v="68"/>
    <n v="14.639344262295081"/>
    <n v="6.5576707726763717"/>
    <n v="5856"/>
  </r>
  <r>
    <x v="47"/>
    <s v="Campaign 60"/>
    <x v="3"/>
    <s v="Photo"/>
    <n v="9776"/>
    <n v="1825"/>
    <n v="35"/>
    <n v="1395"/>
    <x v="59"/>
    <x v="69"/>
    <n v="39.857142857142854"/>
    <n v="3.1111111111111112"/>
    <n v="4340"/>
  </r>
  <r>
    <x v="48"/>
    <s v="Campaign 66"/>
    <x v="3"/>
    <s v="Photo"/>
    <n v="28750"/>
    <n v="1295"/>
    <n v="39"/>
    <n v="332"/>
    <x v="60"/>
    <x v="70"/>
    <n v="8.5128205128205128"/>
    <n v="15.506024096385541"/>
    <n v="5148"/>
  </r>
  <r>
    <x v="49"/>
    <s v="Campaign 67"/>
    <x v="1"/>
    <s v="Video"/>
    <n v="27922"/>
    <n v="353"/>
    <n v="95"/>
    <n v="1289"/>
    <x v="61"/>
    <x v="71"/>
    <n v="13.56842105263158"/>
    <n v="11.055081458494957"/>
    <n v="14250"/>
  </r>
  <r>
    <x v="50"/>
    <s v="Campaign 74"/>
    <x v="3"/>
    <s v="Photo"/>
    <n v="44542"/>
    <n v="1447"/>
    <n v="89"/>
    <n v="1379"/>
    <x v="62"/>
    <x v="72"/>
    <n v="15.49438202247191"/>
    <n v="9.5518491660623646"/>
    <n v="13172"/>
  </r>
  <r>
    <x v="51"/>
    <s v="Campaign 28"/>
    <x v="1"/>
    <s v="Video"/>
    <n v="22499"/>
    <n v="1919"/>
    <n v="30"/>
    <n v="783"/>
    <x v="63"/>
    <x v="73"/>
    <n v="26.1"/>
    <n v="5.4789272030651341"/>
    <n v="4290"/>
  </r>
  <r>
    <x v="52"/>
    <s v="Campaign 67"/>
    <x v="1"/>
    <s v="Video"/>
    <n v="44857"/>
    <n v="1251"/>
    <n v="72"/>
    <n v="389"/>
    <x v="64"/>
    <x v="74"/>
    <n v="5.4027777777777777"/>
    <n v="21.655526992287918"/>
    <n v="8424"/>
  </r>
  <r>
    <x v="53"/>
    <s v="Campaign 8"/>
    <x v="3"/>
    <s v="Photo"/>
    <n v="27000"/>
    <n v="1363"/>
    <n v="24"/>
    <n v="729"/>
    <x v="65"/>
    <x v="75"/>
    <n v="30.375"/>
    <n v="3.0288065843621399"/>
    <n v="2208"/>
  </r>
  <r>
    <x v="54"/>
    <s v="Campaign 62"/>
    <x v="1"/>
    <s v="Video"/>
    <n v="28885"/>
    <n v="788"/>
    <n v="57"/>
    <n v="1191"/>
    <x v="66"/>
    <x v="76"/>
    <n v="20.894736842105264"/>
    <n v="6.6045340050377837"/>
    <n v="7866"/>
  </r>
  <r>
    <x v="55"/>
    <s v="Campaign 5"/>
    <x v="1"/>
    <s v="Video"/>
    <n v="37170"/>
    <n v="1192"/>
    <n v="18"/>
    <n v="1177"/>
    <x v="67"/>
    <x v="77"/>
    <n v="65.388888888888886"/>
    <n v="1.4375531011045031"/>
    <n v="1692"/>
  </r>
  <r>
    <x v="56"/>
    <s v="Campaign 4"/>
    <x v="3"/>
    <s v="Photo"/>
    <n v="49022"/>
    <n v="623"/>
    <n v="100"/>
    <n v="1143"/>
    <x v="68"/>
    <x v="78"/>
    <n v="11.43"/>
    <n v="6.5616797900262469"/>
    <n v="7500"/>
  </r>
  <r>
    <x v="57"/>
    <s v="LinkedIn Campaign 84"/>
    <x v="2"/>
    <s v="Sponsored Content"/>
    <n v="28651"/>
    <n v="797"/>
    <n v="95"/>
    <n v="935"/>
    <x v="69"/>
    <x v="79"/>
    <n v="9.8421052631578956"/>
    <n v="11.379679144385026"/>
    <n v="10640"/>
  </r>
  <r>
    <x v="58"/>
    <s v="Campaign 37"/>
    <x v="3"/>
    <s v="Photo"/>
    <n v="42889"/>
    <n v="264"/>
    <n v="62"/>
    <n v="657"/>
    <x v="70"/>
    <x v="80"/>
    <n v="10.596774193548388"/>
    <n v="9.4368340943683418"/>
    <n v="6200"/>
  </r>
  <r>
    <x v="59"/>
    <s v="Campaign 24"/>
    <x v="1"/>
    <s v="Video"/>
    <n v="22057"/>
    <n v="1967"/>
    <n v="79"/>
    <n v="1174"/>
    <x v="71"/>
    <x v="81"/>
    <n v="14.860759493670885"/>
    <n v="6.8637137989778534"/>
    <n v="8058"/>
  </r>
  <r>
    <x v="60"/>
    <s v="Campaign 36"/>
    <x v="1"/>
    <s v="Video"/>
    <n v="49573"/>
    <n v="1580"/>
    <n v="71"/>
    <n v="1485"/>
    <x v="72"/>
    <x v="82"/>
    <n v="20.91549295774648"/>
    <n v="6.8848484848484848"/>
    <n v="10224"/>
  </r>
  <r>
    <x v="61"/>
    <s v="Campaign 22"/>
    <x v="1"/>
    <s v="Video"/>
    <n v="47917"/>
    <n v="1303"/>
    <n v="98"/>
    <n v="832"/>
    <x v="73"/>
    <x v="83"/>
    <n v="8.4897959183673475"/>
    <n v="12.95673076923077"/>
    <n v="10780"/>
  </r>
  <r>
    <x v="62"/>
    <s v="LinkedIn Campaign 59"/>
    <x v="2"/>
    <s v="Sponsored Content"/>
    <n v="38711"/>
    <n v="1303"/>
    <n v="96"/>
    <n v="521"/>
    <x v="74"/>
    <x v="84"/>
    <n v="5.427083333333333"/>
    <n v="20.637236084452976"/>
    <n v="10752"/>
  </r>
  <r>
    <x v="63"/>
    <s v="Campaign 57"/>
    <x v="1"/>
    <s v="Video"/>
    <n v="40898"/>
    <n v="214"/>
    <n v="56"/>
    <n v="1009"/>
    <x v="75"/>
    <x v="85"/>
    <n v="18.017857142857142"/>
    <n v="7.6035678889990086"/>
    <n v="7672"/>
  </r>
  <r>
    <x v="64"/>
    <s v="Campaign 57"/>
    <x v="1"/>
    <s v="Video"/>
    <n v="47281"/>
    <n v="910"/>
    <n v="31"/>
    <n v="202"/>
    <x v="76"/>
    <x v="86"/>
    <n v="6.5161290322580649"/>
    <n v="13.965346534653465"/>
    <n v="2821"/>
  </r>
  <r>
    <x v="65"/>
    <s v="Campaign 22"/>
    <x v="1"/>
    <s v="Video"/>
    <n v="32860"/>
    <n v="1245"/>
    <n v="84"/>
    <n v="562"/>
    <x v="77"/>
    <x v="87"/>
    <n v="6.6904761904761907"/>
    <n v="20.028469750889681"/>
    <n v="11256"/>
  </r>
  <r>
    <x v="66"/>
    <s v="Campaign 8"/>
    <x v="1"/>
    <s v="Video"/>
    <n v="32988"/>
    <n v="1632"/>
    <n v="20"/>
    <n v="932"/>
    <x v="78"/>
    <x v="88"/>
    <n v="46.6"/>
    <n v="2.2317596566523603"/>
    <n v="2080"/>
  </r>
  <r>
    <x v="67"/>
    <s v="Campaign 60"/>
    <x v="1"/>
    <s v="Video"/>
    <n v="27186"/>
    <n v="746"/>
    <n v="47"/>
    <n v="573"/>
    <x v="79"/>
    <x v="89"/>
    <n v="12.191489361702128"/>
    <n v="9.6788830715532281"/>
    <n v="5546"/>
  </r>
  <r>
    <x v="68"/>
    <s v="Campaign 10"/>
    <x v="1"/>
    <s v="Video"/>
    <n v="32821"/>
    <n v="1643"/>
    <n v="65"/>
    <n v="289"/>
    <x v="80"/>
    <x v="90"/>
    <n v="4.4461538461538463"/>
    <n v="19.792387543252595"/>
    <n v="5720"/>
  </r>
  <r>
    <x v="69"/>
    <s v="Campaign 61"/>
    <x v="1"/>
    <s v="Video"/>
    <n v="48269"/>
    <n v="1529"/>
    <n v="77"/>
    <n v="1233"/>
    <x v="81"/>
    <x v="91"/>
    <n v="16.012987012987011"/>
    <n v="6.0575831305758312"/>
    <n v="7469"/>
  </r>
  <r>
    <x v="70"/>
    <s v="Campaign 89"/>
    <x v="1"/>
    <s v="Video"/>
    <n v="45597"/>
    <n v="1812"/>
    <n v="70"/>
    <n v="335"/>
    <x v="82"/>
    <x v="92"/>
    <n v="4.7857142857142856"/>
    <n v="31.134328358208954"/>
    <n v="10430"/>
  </r>
  <r>
    <x v="71"/>
    <s v="Campaign 60"/>
    <x v="3"/>
    <s v="Photo"/>
    <n v="43084"/>
    <n v="1482"/>
    <n v="93"/>
    <n v="1385"/>
    <x v="83"/>
    <x v="93"/>
    <n v="14.89247311827957"/>
    <n v="6.1104693140794222"/>
    <n v="8463"/>
  </r>
  <r>
    <x v="72"/>
    <s v="Campaign 78"/>
    <x v="3"/>
    <s v="Photo"/>
    <n v="22790"/>
    <n v="1590"/>
    <n v="63"/>
    <n v="768"/>
    <x v="84"/>
    <x v="94"/>
    <n v="12.19047619047619"/>
    <n v="6.3984375"/>
    <n v="4914"/>
  </r>
  <r>
    <x v="73"/>
    <s v="Campaign 99"/>
    <x v="3"/>
    <s v="Photo"/>
    <n v="45553"/>
    <n v="1802"/>
    <n v="88"/>
    <n v="465"/>
    <x v="85"/>
    <x v="95"/>
    <n v="5.2840909090909092"/>
    <n v="20.249462365591398"/>
    <n v="9416"/>
  </r>
  <r>
    <x v="74"/>
    <s v="Campaign 65"/>
    <x v="1"/>
    <s v="Video"/>
    <n v="37154"/>
    <n v="926"/>
    <n v="58"/>
    <n v="1178"/>
    <x v="86"/>
    <x v="96"/>
    <n v="20.310344827586206"/>
    <n v="4.9728353140916806"/>
    <n v="5858"/>
  </r>
  <r>
    <x v="75"/>
    <s v="Campaign 65"/>
    <x v="1"/>
    <s v="Video"/>
    <n v="24117"/>
    <n v="1220"/>
    <n v="26"/>
    <n v="937"/>
    <x v="87"/>
    <x v="97"/>
    <n v="36.03846153846154"/>
    <n v="3.0245464247598721"/>
    <n v="2834"/>
  </r>
  <r>
    <x v="76"/>
    <s v="Campaign 85"/>
    <x v="1"/>
    <s v="Video"/>
    <n v="18438"/>
    <n v="1763"/>
    <n v="97"/>
    <n v="1111"/>
    <x v="88"/>
    <x v="98"/>
    <n v="11.453608247422681"/>
    <n v="11.961296129612961"/>
    <n v="13289"/>
  </r>
  <r>
    <x v="77"/>
    <s v="Campaign 6"/>
    <x v="3"/>
    <s v="Photo"/>
    <n v="16245"/>
    <n v="1114"/>
    <n v="51"/>
    <n v="693"/>
    <x v="89"/>
    <x v="99"/>
    <n v="13.588235294117647"/>
    <n v="7.8008658008658012"/>
    <n v="5406"/>
  </r>
  <r>
    <x v="78"/>
    <s v="Campaign 59"/>
    <x v="1"/>
    <s v="Video"/>
    <n v="38334"/>
    <n v="632"/>
    <n v="44"/>
    <n v="537"/>
    <x v="90"/>
    <x v="100"/>
    <n v="12.204545454545455"/>
    <n v="9.094972067039107"/>
    <n v="4884"/>
  </r>
  <r>
    <x v="79"/>
    <s v="Campaign 18"/>
    <x v="1"/>
    <s v="Video"/>
    <n v="35237"/>
    <n v="1956"/>
    <n v="51"/>
    <n v="760"/>
    <x v="91"/>
    <x v="101"/>
    <n v="14.901960784313726"/>
    <n v="6.1736842105263161"/>
    <n v="4692"/>
  </r>
  <r>
    <x v="80"/>
    <s v="Campaign 3"/>
    <x v="3"/>
    <s v="Photo"/>
    <n v="37487"/>
    <n v="1506"/>
    <n v="87"/>
    <n v="298"/>
    <x v="92"/>
    <x v="102"/>
    <n v="3.4252873563218391"/>
    <n v="37.369127516778526"/>
    <n v="11136"/>
  </r>
  <r>
    <x v="81"/>
    <s v="Campaign 70"/>
    <x v="3"/>
    <s v="Photo"/>
    <n v="41791"/>
    <n v="533"/>
    <n v="73"/>
    <n v="238"/>
    <x v="93"/>
    <x v="103"/>
    <n v="3.2602739726027399"/>
    <n v="32.819327731092436"/>
    <n v="7811"/>
  </r>
  <r>
    <x v="82"/>
    <s v="LinkedIn Campaign 88"/>
    <x v="2"/>
    <s v="Sponsored Content"/>
    <n v="49373"/>
    <n v="1103"/>
    <n v="81"/>
    <n v="1387"/>
    <x v="94"/>
    <x v="104"/>
    <n v="17.123456790123456"/>
    <n v="8.1759192501802449"/>
    <n v="11340"/>
  </r>
  <r>
    <x v="83"/>
    <s v="Campaign 63"/>
    <x v="1"/>
    <s v="Video"/>
    <n v="25480"/>
    <n v="718"/>
    <n v="27"/>
    <n v="1215"/>
    <x v="95"/>
    <x v="105"/>
    <n v="45"/>
    <n v="2.9333333333333331"/>
    <n v="3564"/>
  </r>
  <r>
    <x v="84"/>
    <s v="Campaign 97"/>
    <x v="3"/>
    <s v="Photo"/>
    <n v="19314"/>
    <n v="1680"/>
    <n v="88"/>
    <n v="1193"/>
    <x v="96"/>
    <x v="106"/>
    <n v="13.556818181818182"/>
    <n v="9.2204526404023479"/>
    <n v="11000"/>
  </r>
  <r>
    <x v="85"/>
    <s v="Campaign 99"/>
    <x v="1"/>
    <s v="Video"/>
    <n v="18125"/>
    <n v="1952"/>
    <n v="18"/>
    <n v="1201"/>
    <x v="97"/>
    <x v="107"/>
    <n v="66.722222222222229"/>
    <n v="1.4687760199833473"/>
    <n v="1764"/>
  </r>
  <r>
    <x v="86"/>
    <s v="LinkedIn Campaign 29"/>
    <x v="2"/>
    <s v="Sponsored Content"/>
    <n v="44479"/>
    <n v="1988"/>
    <n v="64"/>
    <n v="1437"/>
    <x v="98"/>
    <x v="108"/>
    <n v="22.453125"/>
    <n v="5.0327070285316635"/>
    <n v="7232"/>
  </r>
  <r>
    <x v="87"/>
    <s v="Campaign 34"/>
    <x v="1"/>
    <s v="Video"/>
    <n v="35955"/>
    <n v="559"/>
    <n v="24"/>
    <n v="614"/>
    <x v="99"/>
    <x v="109"/>
    <n v="25.583333333333332"/>
    <n v="3.8306188925081432"/>
    <n v="2352"/>
  </r>
  <r>
    <x v="88"/>
    <s v="Campaign 14"/>
    <x v="3"/>
    <s v="Photo"/>
    <n v="49790"/>
    <n v="438"/>
    <n v="27"/>
    <n v="761"/>
    <x v="100"/>
    <x v="110"/>
    <n v="28.185185185185187"/>
    <n v="3.7253613666228644"/>
    <n v="2835"/>
  </r>
  <r>
    <x v="89"/>
    <s v="Campaign 14"/>
    <x v="3"/>
    <s v="Photo"/>
    <n v="29557"/>
    <n v="254"/>
    <n v="43"/>
    <n v="732"/>
    <x v="101"/>
    <x v="111"/>
    <n v="17.023255813953487"/>
    <n v="5.8743169398907105"/>
    <n v="4300"/>
  </r>
  <r>
    <x v="90"/>
    <s v="Campaign 46"/>
    <x v="1"/>
    <s v="Video"/>
    <n v="7648"/>
    <n v="827"/>
    <n v="64"/>
    <n v="356"/>
    <x v="102"/>
    <x v="112"/>
    <n v="5.5625"/>
    <n v="20.674157303370787"/>
    <n v="7360"/>
  </r>
  <r>
    <x v="91"/>
    <s v="Campaign 9"/>
    <x v="1"/>
    <s v="Video"/>
    <n v="37041"/>
    <n v="1399"/>
    <n v="18"/>
    <n v="214"/>
    <x v="103"/>
    <x v="113"/>
    <n v="11.888888888888889"/>
    <n v="11.186915887850468"/>
    <n v="2394"/>
  </r>
  <r>
    <x v="92"/>
    <s v="Campaign 57"/>
    <x v="1"/>
    <s v="Video"/>
    <n v="18986"/>
    <n v="1355"/>
    <n v="74"/>
    <n v="1334"/>
    <x v="104"/>
    <x v="114"/>
    <n v="18.027027027027028"/>
    <n v="6.6566716641679164"/>
    <n v="8880"/>
  </r>
  <r>
    <x v="93"/>
    <s v="Campaign 66"/>
    <x v="3"/>
    <s v="Photo"/>
    <n v="10665"/>
    <n v="1082"/>
    <n v="84"/>
    <n v="1452"/>
    <x v="105"/>
    <x v="115"/>
    <n v="17.285714285714285"/>
    <n v="7.9256198347107434"/>
    <n v="11508"/>
  </r>
  <r>
    <x v="94"/>
    <s v="Campaign 96"/>
    <x v="1"/>
    <s v="Video"/>
    <n v="25200"/>
    <n v="1432"/>
    <n v="17"/>
    <n v="1231"/>
    <x v="106"/>
    <x v="116"/>
    <n v="72.411764705882348"/>
    <n v="1.7400487408610885"/>
    <n v="2142"/>
  </r>
  <r>
    <x v="95"/>
    <s v="Campaign 90"/>
    <x v="1"/>
    <s v="Video"/>
    <n v="48992"/>
    <n v="1770"/>
    <n v="72"/>
    <n v="1292"/>
    <x v="107"/>
    <x v="117"/>
    <n v="17.944444444444443"/>
    <n v="5.2383900928792571"/>
    <n v="6768"/>
  </r>
  <r>
    <x v="96"/>
    <s v="Campaign 53"/>
    <x v="1"/>
    <s v="Video"/>
    <n v="5539"/>
    <n v="1966"/>
    <n v="43"/>
    <n v="1405"/>
    <x v="108"/>
    <x v="118"/>
    <n v="32.674418604651166"/>
    <n v="3.121708185053381"/>
    <n v="4386"/>
  </r>
  <r>
    <x v="97"/>
    <s v="Campaign 46"/>
    <x v="1"/>
    <s v="Video"/>
    <n v="22386"/>
    <n v="1677"/>
    <n v="78"/>
    <n v="518"/>
    <x v="109"/>
    <x v="119"/>
    <n v="6.6410256410256414"/>
    <n v="14.606177606177607"/>
    <n v="7566"/>
  </r>
  <r>
    <x v="98"/>
    <s v="Campaign 9"/>
    <x v="3"/>
    <s v="Photo"/>
    <n v="25046"/>
    <n v="1049"/>
    <n v="71"/>
    <n v="1315"/>
    <x v="110"/>
    <x v="120"/>
    <n v="18.52112676056338"/>
    <n v="6.1551330798479089"/>
    <n v="8094"/>
  </r>
  <r>
    <x v="99"/>
    <s v="Campaign 95"/>
    <x v="1"/>
    <s v="Video"/>
    <n v="43510"/>
    <n v="420"/>
    <n v="40"/>
    <n v="1125"/>
    <x v="111"/>
    <x v="121"/>
    <n v="28.125"/>
    <n v="4.5866666666666669"/>
    <n v="5160"/>
  </r>
  <r>
    <x v="100"/>
    <s v="Campaign 86"/>
    <x v="1"/>
    <s v="Video"/>
    <n v="27957"/>
    <n v="390"/>
    <n v="68"/>
    <n v="774"/>
    <x v="112"/>
    <x v="122"/>
    <n v="11.382352941176471"/>
    <n v="9.92764857881137"/>
    <n v="7684"/>
  </r>
  <r>
    <x v="101"/>
    <s v="Campaign 69"/>
    <x v="3"/>
    <s v="Photo"/>
    <n v="48899"/>
    <n v="984"/>
    <n v="55"/>
    <n v="214"/>
    <x v="113"/>
    <x v="123"/>
    <n v="3.8909090909090911"/>
    <n v="28.528037383177569"/>
    <n v="6105"/>
  </r>
  <r>
    <x v="102"/>
    <s v="Campaign 66"/>
    <x v="3"/>
    <s v="Photo"/>
    <n v="42724"/>
    <n v="800"/>
    <n v="60"/>
    <n v="823"/>
    <x v="114"/>
    <x v="124"/>
    <n v="13.716666666666667"/>
    <n v="9.4775212636695016"/>
    <n v="7800"/>
  </r>
  <r>
    <x v="103"/>
    <s v="Campaign 39"/>
    <x v="1"/>
    <s v="Video"/>
    <n v="8762"/>
    <n v="799"/>
    <n v="80"/>
    <n v="423"/>
    <x v="115"/>
    <x v="125"/>
    <n v="5.2874999999999996"/>
    <n v="19.101654846335698"/>
    <n v="8080"/>
  </r>
  <r>
    <x v="104"/>
    <s v="LinkedIn Campaign 23"/>
    <x v="2"/>
    <s v="Sponsored Content"/>
    <n v="28239"/>
    <n v="1994"/>
    <n v="70"/>
    <n v="569"/>
    <x v="116"/>
    <x v="126"/>
    <n v="8.1285714285714281"/>
    <n v="10.579964850615115"/>
    <n v="6020"/>
  </r>
  <r>
    <x v="105"/>
    <s v="Campaign 94"/>
    <x v="3"/>
    <s v="Photo"/>
    <n v="41695"/>
    <n v="716"/>
    <n v="61"/>
    <n v="1114"/>
    <x v="117"/>
    <x v="127"/>
    <n v="18.262295081967213"/>
    <n v="6.0780969479353679"/>
    <n v="6771"/>
  </r>
  <r>
    <x v="106"/>
    <s v="Campaign 6"/>
    <x v="3"/>
    <s v="Photo"/>
    <n v="45942"/>
    <n v="1566"/>
    <n v="57"/>
    <n v="1167"/>
    <x v="118"/>
    <x v="128"/>
    <n v="20.473684210526315"/>
    <n v="4.2982005141388173"/>
    <n v="5016"/>
  </r>
  <r>
    <x v="107"/>
    <s v="Campaign 73"/>
    <x v="3"/>
    <s v="Photo"/>
    <n v="42146"/>
    <n v="1196"/>
    <n v="91"/>
    <n v="915"/>
    <x v="119"/>
    <x v="129"/>
    <n v="10.054945054945055"/>
    <n v="11.834972677595628"/>
    <n v="10829"/>
  </r>
  <r>
    <x v="108"/>
    <s v="Campaign 82"/>
    <x v="1"/>
    <s v="Video"/>
    <n v="14905"/>
    <n v="1909"/>
    <n v="13"/>
    <n v="1215"/>
    <x v="120"/>
    <x v="130"/>
    <n v="93.461538461538467"/>
    <n v="1.4551440329218106"/>
    <n v="1768"/>
  </r>
  <r>
    <x v="109"/>
    <s v="Campaign 65"/>
    <x v="3"/>
    <s v="Photo"/>
    <n v="6640"/>
    <n v="955"/>
    <n v="20"/>
    <n v="1237"/>
    <x v="121"/>
    <x v="131"/>
    <n v="61.85"/>
    <n v="1.5359741309620047"/>
    <n v="1900"/>
  </r>
  <r>
    <x v="110"/>
    <s v="Campaign 72"/>
    <x v="1"/>
    <s v="Video"/>
    <n v="25615"/>
    <n v="1274"/>
    <n v="90"/>
    <n v="267"/>
    <x v="122"/>
    <x v="132"/>
    <n v="2.9666666666666668"/>
    <n v="50.561797752808985"/>
    <n v="13500"/>
  </r>
  <r>
    <x v="111"/>
    <s v="LinkedIn Campaign 31"/>
    <x v="2"/>
    <s v="Sponsored Content"/>
    <n v="44680"/>
    <n v="776"/>
    <n v="10"/>
    <n v="1105"/>
    <x v="123"/>
    <x v="133"/>
    <n v="110.5"/>
    <n v="1.1131221719457014"/>
    <n v="1230"/>
  </r>
  <r>
    <x v="112"/>
    <s v="Campaign 93"/>
    <x v="1"/>
    <s v="Video"/>
    <n v="7927"/>
    <n v="363"/>
    <n v="48"/>
    <n v="1262"/>
    <x v="124"/>
    <x v="134"/>
    <n v="26.291666666666668"/>
    <n v="4.7543581616481774"/>
    <n v="6000"/>
  </r>
  <r>
    <x v="113"/>
    <s v="Campaign 89"/>
    <x v="3"/>
    <s v="Photo"/>
    <n v="7327"/>
    <n v="230"/>
    <n v="69"/>
    <n v="496"/>
    <x v="125"/>
    <x v="135"/>
    <n v="7.1884057971014492"/>
    <n v="16.276209677419356"/>
    <n v="8073"/>
  </r>
  <r>
    <x v="114"/>
    <s v="LinkedIn Campaign 5"/>
    <x v="2"/>
    <s v="Sponsored Content"/>
    <n v="13822"/>
    <n v="868"/>
    <n v="23"/>
    <n v="632"/>
    <x v="126"/>
    <x v="136"/>
    <n v="27.478260869565219"/>
    <n v="2.9841772151898733"/>
    <n v="1886"/>
  </r>
  <r>
    <x v="115"/>
    <s v="Campaign 48"/>
    <x v="1"/>
    <s v="Video"/>
    <n v="46558"/>
    <n v="849"/>
    <n v="49"/>
    <n v="881"/>
    <x v="127"/>
    <x v="137"/>
    <n v="17.979591836734695"/>
    <n v="6.396140749148695"/>
    <n v="5635"/>
  </r>
  <r>
    <x v="116"/>
    <s v="Campaign 25"/>
    <x v="3"/>
    <s v="Photo"/>
    <n v="45771"/>
    <n v="309"/>
    <n v="25"/>
    <n v="270"/>
    <x v="128"/>
    <x v="138"/>
    <n v="10.8"/>
    <n v="7.3148148148148149"/>
    <n v="1975"/>
  </r>
  <r>
    <x v="117"/>
    <s v="Campaign 17"/>
    <x v="3"/>
    <s v="Photo"/>
    <n v="36839"/>
    <n v="1387"/>
    <n v="76"/>
    <n v="1091"/>
    <x v="129"/>
    <x v="139"/>
    <n v="14.355263157894736"/>
    <n v="9.682859761686526"/>
    <n v="10564"/>
  </r>
  <r>
    <x v="118"/>
    <s v="Campaign 94"/>
    <x v="1"/>
    <s v="Video"/>
    <n v="33407"/>
    <n v="1130"/>
    <n v="67"/>
    <n v="1221"/>
    <x v="130"/>
    <x v="140"/>
    <n v="18.223880597014926"/>
    <n v="7.1334971334971335"/>
    <n v="8710"/>
  </r>
  <r>
    <x v="119"/>
    <s v="Email Campaign 94"/>
    <x v="4"/>
    <s v="Newsletter"/>
    <n v="40613"/>
    <n v="344"/>
    <n v="89"/>
    <n v="1477"/>
    <x v="131"/>
    <x v="141"/>
    <n v="16.59550561797753"/>
    <n v="6.6885578876100205"/>
    <n v="9879"/>
  </r>
  <r>
    <x v="120"/>
    <s v="Campaign 27"/>
    <x v="1"/>
    <s v="Video"/>
    <n v="33959"/>
    <n v="1039"/>
    <n v="29"/>
    <n v="1400"/>
    <x v="132"/>
    <x v="142"/>
    <n v="48.275862068965516"/>
    <n v="1.8642857142857143"/>
    <n v="2610"/>
  </r>
  <r>
    <x v="121"/>
    <s v="Campaign 84"/>
    <x v="1"/>
    <s v="Video"/>
    <n v="10400"/>
    <n v="733"/>
    <n v="56"/>
    <n v="826"/>
    <x v="133"/>
    <x v="143"/>
    <n v="14.75"/>
    <n v="5.5593220338983054"/>
    <n v="4592"/>
  </r>
  <r>
    <x v="122"/>
    <s v="Campaign 56"/>
    <x v="1"/>
    <s v="Video"/>
    <n v="17090"/>
    <n v="802"/>
    <n v="43"/>
    <n v="855"/>
    <x v="134"/>
    <x v="144"/>
    <n v="19.88372093023256"/>
    <n v="7.3929824561403512"/>
    <n v="6321"/>
  </r>
  <r>
    <x v="123"/>
    <s v="Campaign 13"/>
    <x v="3"/>
    <s v="Photo"/>
    <n v="20573"/>
    <n v="1253"/>
    <n v="22"/>
    <n v="468"/>
    <x v="135"/>
    <x v="145"/>
    <n v="21.272727272727273"/>
    <n v="3.5256410256410255"/>
    <n v="1650"/>
  </r>
  <r>
    <x v="124"/>
    <s v="Campaign 67"/>
    <x v="1"/>
    <s v="Video"/>
    <n v="39278"/>
    <n v="1088"/>
    <n v="33"/>
    <n v="1303"/>
    <x v="136"/>
    <x v="146"/>
    <n v="39.484848484848484"/>
    <n v="2.7605525709900229"/>
    <n v="3597"/>
  </r>
  <r>
    <x v="125"/>
    <s v="Campaign 76"/>
    <x v="1"/>
    <s v="Video"/>
    <n v="30332"/>
    <n v="490"/>
    <n v="19"/>
    <n v="1381"/>
    <x v="137"/>
    <x v="147"/>
    <n v="72.684210526315795"/>
    <n v="1.169442433019551"/>
    <n v="1615"/>
  </r>
  <r>
    <x v="126"/>
    <s v="Campaign 72"/>
    <x v="1"/>
    <s v="Video"/>
    <n v="49138"/>
    <n v="853"/>
    <n v="25"/>
    <n v="236"/>
    <x v="138"/>
    <x v="148"/>
    <n v="9.44"/>
    <n v="14.300847457627119"/>
    <n v="3375"/>
  </r>
  <r>
    <x v="127"/>
    <s v="Campaign 37"/>
    <x v="1"/>
    <s v="Video"/>
    <n v="40976"/>
    <n v="1463"/>
    <n v="72"/>
    <n v="325"/>
    <x v="139"/>
    <x v="149"/>
    <n v="4.5138888888888893"/>
    <n v="31.236923076923077"/>
    <n v="10152"/>
  </r>
  <r>
    <x v="128"/>
    <s v="Campaign 73"/>
    <x v="1"/>
    <s v="Video"/>
    <n v="6702"/>
    <n v="1049"/>
    <n v="67"/>
    <n v="202"/>
    <x v="140"/>
    <x v="150"/>
    <n v="3.0149253731343282"/>
    <n v="29.188118811881189"/>
    <n v="5896"/>
  </r>
  <r>
    <x v="129"/>
    <s v="Campaign 93"/>
    <x v="1"/>
    <s v="Video"/>
    <n v="29191"/>
    <n v="272"/>
    <n v="21"/>
    <n v="633"/>
    <x v="141"/>
    <x v="151"/>
    <n v="30.142857142857142"/>
    <n v="3.6492890995260665"/>
    <n v="2310"/>
  </r>
  <r>
    <x v="130"/>
    <s v="Campaign 56"/>
    <x v="1"/>
    <s v="Video"/>
    <n v="30881"/>
    <n v="1225"/>
    <n v="97"/>
    <n v="840"/>
    <x v="142"/>
    <x v="152"/>
    <n v="8.6597938144329891"/>
    <n v="12.471428571428572"/>
    <n v="10476"/>
  </r>
  <r>
    <x v="131"/>
    <s v="Campaign 85"/>
    <x v="3"/>
    <s v="Photo"/>
    <n v="39688"/>
    <n v="381"/>
    <n v="32"/>
    <n v="476"/>
    <x v="143"/>
    <x v="153"/>
    <n v="14.875"/>
    <n v="5.848739495798319"/>
    <n v="2784"/>
  </r>
  <r>
    <x v="132"/>
    <s v="LinkedIn Campaign 16"/>
    <x v="2"/>
    <s v="Sponsored Content"/>
    <n v="22615"/>
    <n v="771"/>
    <n v="79"/>
    <n v="503"/>
    <x v="144"/>
    <x v="154"/>
    <n v="6.3670886075949369"/>
    <n v="14.449304174950298"/>
    <n v="7268"/>
  </r>
  <r>
    <x v="133"/>
    <s v="Campaign 46"/>
    <x v="3"/>
    <s v="Photo"/>
    <n v="23257"/>
    <n v="1451"/>
    <n v="27"/>
    <n v="629"/>
    <x v="145"/>
    <x v="155"/>
    <n v="23.296296296296298"/>
    <n v="3.9491255961844196"/>
    <n v="2484"/>
  </r>
  <r>
    <x v="134"/>
    <s v="Campaign 88"/>
    <x v="1"/>
    <s v="Video"/>
    <n v="29147"/>
    <n v="1954"/>
    <n v="35"/>
    <n v="1017"/>
    <x v="146"/>
    <x v="156"/>
    <n v="29.057142857142857"/>
    <n v="4.4739429695181911"/>
    <n v="4550"/>
  </r>
  <r>
    <x v="135"/>
    <s v="Campaign 76"/>
    <x v="1"/>
    <s v="Video"/>
    <n v="49767"/>
    <n v="1795"/>
    <n v="40"/>
    <n v="1175"/>
    <x v="147"/>
    <x v="157"/>
    <n v="29.375"/>
    <n v="4.493617021276596"/>
    <n v="5280"/>
  </r>
  <r>
    <x v="136"/>
    <s v="Campaign 55"/>
    <x v="3"/>
    <s v="Photo"/>
    <n v="14252"/>
    <n v="646"/>
    <n v="93"/>
    <n v="467"/>
    <x v="148"/>
    <x v="158"/>
    <n v="5.021505376344086"/>
    <n v="27.880085653104924"/>
    <n v="13020"/>
  </r>
  <r>
    <x v="137"/>
    <s v="Campaign 30"/>
    <x v="1"/>
    <s v="Video"/>
    <n v="38313"/>
    <n v="1579"/>
    <n v="62"/>
    <n v="702"/>
    <x v="149"/>
    <x v="159"/>
    <n v="11.32258064516129"/>
    <n v="8.3903133903133895"/>
    <n v="5890"/>
  </r>
  <r>
    <x v="138"/>
    <s v="Campaign 37"/>
    <x v="1"/>
    <s v="Video"/>
    <n v="15205"/>
    <n v="1873"/>
    <n v="65"/>
    <n v="1403"/>
    <x v="150"/>
    <x v="160"/>
    <n v="21.584615384615386"/>
    <n v="3.9379900213827512"/>
    <n v="5525"/>
  </r>
  <r>
    <x v="139"/>
    <s v="Campaign 17"/>
    <x v="3"/>
    <s v="Photo"/>
    <n v="31316"/>
    <n v="421"/>
    <n v="91"/>
    <n v="1423"/>
    <x v="151"/>
    <x v="161"/>
    <n v="15.637362637362637"/>
    <n v="5.3717498243148274"/>
    <n v="7644"/>
  </r>
  <r>
    <x v="140"/>
    <s v="Campaign 69"/>
    <x v="3"/>
    <s v="Photo"/>
    <n v="21936"/>
    <n v="1775"/>
    <n v="87"/>
    <n v="1380"/>
    <x v="152"/>
    <x v="162"/>
    <n v="15.862068965517242"/>
    <n v="4.9173913043478263"/>
    <n v="6786"/>
  </r>
  <r>
    <x v="141"/>
    <s v="Campaign 65"/>
    <x v="1"/>
    <s v="Video"/>
    <n v="24747"/>
    <n v="420"/>
    <n v="82"/>
    <n v="686"/>
    <x v="153"/>
    <x v="163"/>
    <n v="8.3658536585365848"/>
    <n v="10.758017492711371"/>
    <n v="7380"/>
  </r>
  <r>
    <x v="142"/>
    <s v="Campaign 23"/>
    <x v="1"/>
    <s v="Video"/>
    <n v="40457"/>
    <n v="1831"/>
    <n v="61"/>
    <n v="1272"/>
    <x v="154"/>
    <x v="164"/>
    <n v="20.852459016393443"/>
    <n v="5.9465408805031448"/>
    <n v="7564"/>
  </r>
  <r>
    <x v="143"/>
    <s v="Campaign 74"/>
    <x v="1"/>
    <s v="Video"/>
    <n v="47991"/>
    <n v="484"/>
    <n v="95"/>
    <n v="1123"/>
    <x v="155"/>
    <x v="165"/>
    <n v="11.821052631578947"/>
    <n v="11.589492430988424"/>
    <n v="13015"/>
  </r>
  <r>
    <x v="144"/>
    <s v="Campaign 10"/>
    <x v="3"/>
    <s v="Photo"/>
    <n v="48292"/>
    <n v="1333"/>
    <n v="28"/>
    <n v="1204"/>
    <x v="156"/>
    <x v="166"/>
    <n v="43"/>
    <n v="3.3953488372093021"/>
    <n v="40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7">
  <r>
    <d v="2024-01-01T00:00:00"/>
    <s v="New Year Sale - Search"/>
    <x v="0"/>
    <s v="Search"/>
    <n v="15000"/>
    <n v="850"/>
    <n v="45"/>
    <n v="650"/>
    <n v="5.6666666666666664E-2"/>
    <n v="0.76470588235294112"/>
    <n v="14.444444444444445"/>
    <n v="8.3769230769230774"/>
    <n v="5445"/>
    <x v="0"/>
  </r>
  <r>
    <d v="2024-01-01T00:00:00"/>
    <s v="New Year Sale - Social"/>
    <x v="1"/>
    <s v="Video"/>
    <n v="25000"/>
    <n v="1200"/>
    <n v="38"/>
    <n v="420"/>
    <n v="4.8000000000000001E-2"/>
    <n v="0.35"/>
    <n v="11.052631578947368"/>
    <n v="8.4142857142857146"/>
    <n v="3534"/>
    <x v="0"/>
  </r>
  <r>
    <d v="2024-02-01T00:00:00"/>
    <s v="Brand Awareness - Display"/>
    <x v="0"/>
    <s v="Display"/>
    <n v="35000"/>
    <n v="780"/>
    <n v="22"/>
    <n v="380"/>
    <n v="2.2285714285714287E-2"/>
    <n v="0.48717948717948717"/>
    <n v="17.272727272727273"/>
    <n v="5.5578947368421057"/>
    <n v="2112"/>
    <x v="1"/>
  </r>
  <r>
    <d v="2024-02-01T00:00:00"/>
    <s v="Retargeting Campaign"/>
    <x v="1"/>
    <s v="Display"/>
    <n v="22000"/>
    <n v="880"/>
    <n v="41"/>
    <n v="275"/>
    <n v="0.04"/>
    <n v="0.3125"/>
    <n v="6.7073170731707314"/>
    <n v="15.952727272727273"/>
    <n v="4387"/>
    <x v="1"/>
  </r>
  <r>
    <d v="2024-03-01T00:00:00"/>
    <s v="Shopping Campaign"/>
    <x v="0"/>
    <s v="Shopping"/>
    <n v="28000"/>
    <n v="1250"/>
    <n v="65"/>
    <n v="720"/>
    <n v="4.4642857142857144E-2"/>
    <n v="0.57599999999999996"/>
    <n v="11.076923076923077"/>
    <n v="10.111111111111111"/>
    <n v="7280"/>
    <x v="2"/>
  </r>
  <r>
    <d v="2024-03-01T00:00:00"/>
    <s v="Engagement Campaign"/>
    <x v="1"/>
    <s v="Engagement"/>
    <n v="31000"/>
    <n v="1550"/>
    <n v="28"/>
    <n v="285"/>
    <n v="0.05"/>
    <n v="0.18387096774193548"/>
    <n v="10.178571428571429"/>
    <n v="14.638596491228069"/>
    <n v="4172"/>
    <x v="2"/>
  </r>
  <r>
    <d v="2024-04-01T00:00:00"/>
    <s v="Mobile App Install"/>
    <x v="0"/>
    <s v="App"/>
    <n v="42000"/>
    <n v="1680"/>
    <n v="85"/>
    <n v="850"/>
    <n v="0.04"/>
    <n v="0.50595238095238093"/>
    <n v="10"/>
    <n v="10.5"/>
    <n v="8925"/>
    <x v="3"/>
  </r>
  <r>
    <d v="2024-04-01T00:00:00"/>
    <s v="Video Marketing"/>
    <x v="1"/>
    <s v="Video"/>
    <n v="38000"/>
    <n v="1520"/>
    <n v="55"/>
    <n v="465"/>
    <n v="0.04"/>
    <n v="0.30592105263157893"/>
    <n v="8.454545454545455"/>
    <n v="13.483870967741936"/>
    <n v="6270"/>
    <x v="3"/>
  </r>
  <r>
    <d v="2024-05-01T00:00:00"/>
    <s v="Brand Keywords"/>
    <x v="0"/>
    <s v="Search"/>
    <n v="18000"/>
    <n v="1106"/>
    <n v="62"/>
    <n v="620"/>
    <n v="6.1444444444444447E-2"/>
    <n v="0.56057866184448468"/>
    <n v="10"/>
    <n v="9.1"/>
    <n v="5642"/>
    <x v="4"/>
  </r>
  <r>
    <d v="2024-05-01T00:00:00"/>
    <s v="Event Promotion"/>
    <x v="1"/>
    <s v="Event"/>
    <n v="19500"/>
    <n v="975"/>
    <n v="32"/>
    <n v="255"/>
    <n v="0.05"/>
    <n v="0.26153846153846155"/>
    <n v="7.96875"/>
    <n v="17.066666666666666"/>
    <n v="4352"/>
    <x v="4"/>
  </r>
  <r>
    <d v="2024-06-01T00:00:00"/>
    <s v="Competitor Keywords"/>
    <x v="0"/>
    <s v="Search"/>
    <n v="28500"/>
    <n v="1140"/>
    <n v="48"/>
    <n v="765"/>
    <n v="0.04"/>
    <n v="0.67105263157894735"/>
    <n v="15.9375"/>
    <n v="9.0980392156862742"/>
    <n v="6960"/>
    <x v="5"/>
  </r>
  <r>
    <d v="2024-06-01T00:00:00"/>
    <s v="Lookalike Audience"/>
    <x v="1"/>
    <s v="Lookalike"/>
    <n v="26500"/>
    <n v="1325"/>
    <n v="48"/>
    <n v="485"/>
    <n v="0.05"/>
    <n v="0.36603773584905658"/>
    <n v="10.104166666666666"/>
    <n v="11.876288659793815"/>
    <n v="5760"/>
    <x v="5"/>
  </r>
  <r>
    <d v="2024-07-01T00:00:00"/>
    <s v="Performance Max"/>
    <x v="0"/>
    <s v="Performance Max"/>
    <n v="45000"/>
    <n v="1650"/>
    <n v="88"/>
    <n v="920"/>
    <n v="3.6666666666666667E-2"/>
    <n v="0.55757575757575761"/>
    <n v="10.454545454545455"/>
    <n v="8.8000000000000007"/>
    <n v="8096"/>
    <x v="6"/>
  </r>
  <r>
    <d v="2024-07-01T00:00:00"/>
    <s v="Custom Audience"/>
    <x v="1"/>
    <s v="Custom"/>
    <n v="29000"/>
    <n v="1450"/>
    <n v="52"/>
    <n v="525"/>
    <n v="0.05"/>
    <n v="0.36206896551724138"/>
    <n v="10.096153846153847"/>
    <n v="8.5180952380952384"/>
    <n v="4472"/>
    <x v="6"/>
  </r>
  <r>
    <d v="2024-08-01T00:00:00"/>
    <s v="Local Services"/>
    <x v="0"/>
    <s v="Local"/>
    <n v="18200"/>
    <n v="910"/>
    <n v="42"/>
    <n v="485"/>
    <n v="0.05"/>
    <n v="0.53296703296703296"/>
    <n v="11.547619047619047"/>
    <n v="9.6989690721649477"/>
    <n v="4704"/>
    <x v="7"/>
  </r>
  <r>
    <d v="2024-08-01T00:00:00"/>
    <s v="Interest Targeting"/>
    <x v="1"/>
    <s v="Interest"/>
    <n v="33500"/>
    <n v="1675"/>
    <n v="58"/>
    <n v="545"/>
    <n v="0.05"/>
    <n v="0.32537313432835818"/>
    <n v="9.3965517241379306"/>
    <n v="9.6844036697247713"/>
    <n v="5278"/>
    <x v="7"/>
  </r>
  <r>
    <d v="2024-09-01T00:00:00"/>
    <s v="YouTube Ads"/>
    <x v="0"/>
    <s v="Video"/>
    <n v="42000"/>
    <n v="1860"/>
    <n v="78"/>
    <n v="685"/>
    <n v="4.4285714285714282E-2"/>
    <n v="0.36827956989247312"/>
    <n v="8.7820512820512828"/>
    <n v="15.030656934306569"/>
    <n v="10296"/>
    <x v="8"/>
  </r>
  <r>
    <d v="2024-09-01T00:00:00"/>
    <s v="Page Like Campaign"/>
    <x v="1"/>
    <s v="Page Likes"/>
    <n v="28000"/>
    <n v="1400"/>
    <n v="25"/>
    <n v="285"/>
    <n v="0.05"/>
    <n v="0.20357142857142857"/>
    <n v="11.4"/>
    <n v="8.5087719298245617"/>
    <n v="2425"/>
    <x v="8"/>
  </r>
  <r>
    <d v="2024-10-01T00:00:00"/>
    <s v="Discovery Ads"/>
    <x v="0"/>
    <s v="Discovery"/>
    <n v="38000"/>
    <n v="1440"/>
    <n v="62"/>
    <n v="625"/>
    <n v="3.7894736842105266E-2"/>
    <n v="0.43402777777777779"/>
    <n v="10.080645161290322"/>
    <n v="8.3328000000000007"/>
    <n v="5208"/>
    <x v="9"/>
  </r>
  <r>
    <d v="2024-10-01T00:00:00"/>
    <s v="Messenger Ads"/>
    <x v="1"/>
    <s v="Messenger"/>
    <n v="22500"/>
    <n v="1350"/>
    <n v="42"/>
    <n v="385"/>
    <n v="0.06"/>
    <n v="0.28518518518518521"/>
    <n v="9.1666666666666661"/>
    <n v="15.054545454545455"/>
    <n v="5796"/>
    <x v="9"/>
  </r>
  <r>
    <d v="2024-11-01T00:00:00"/>
    <s v="Smart Shopping"/>
    <x v="0"/>
    <s v="Smart Shopping"/>
    <n v="32000"/>
    <n v="1260"/>
    <n v="68"/>
    <n v="695"/>
    <n v="3.9375E-2"/>
    <n v="0.55158730158730163"/>
    <n v="10.220588235294118"/>
    <n v="11.447482014388489"/>
    <n v="7956"/>
    <x v="10"/>
  </r>
  <r>
    <d v="2024-11-01T00:00:00"/>
    <s v="Instant Experience"/>
    <x v="1"/>
    <s v="Instant"/>
    <n v="35000"/>
    <n v="1750"/>
    <n v="58"/>
    <n v="565"/>
    <n v="0.05"/>
    <n v="0.32285714285714284"/>
    <n v="9.7413793103448274"/>
    <n v="11.702654867256637"/>
    <n v="6612"/>
    <x v="10"/>
  </r>
  <r>
    <d v="2024-01-01T00:00:00"/>
    <s v="LinkedIn Campaign 85"/>
    <x v="2"/>
    <s v="Sponsored Content"/>
    <n v="6236"/>
    <n v="733"/>
    <n v="73"/>
    <n v="788"/>
    <n v="0.11754329698524696"/>
    <n v="1.0750341064120055"/>
    <n v="10.794520547945206"/>
    <n v="9.4492385786802036"/>
    <n v="7446"/>
    <x v="0"/>
  </r>
  <r>
    <d v="2024-02-01T00:00:00"/>
    <s v="Campaign 46"/>
    <x v="3"/>
    <s v="Photo"/>
    <n v="44735"/>
    <n v="1105"/>
    <n v="75"/>
    <n v="958"/>
    <n v="2.4701017100704145E-2"/>
    <n v="0.86696832579185523"/>
    <n v="12.773333333333333"/>
    <n v="9.0031315240083511"/>
    <n v="8625"/>
    <x v="1"/>
  </r>
  <r>
    <d v="2024-03-01T00:00:00"/>
    <s v="Campaign 98"/>
    <x v="1"/>
    <s v="Video"/>
    <n v="45718"/>
    <n v="553"/>
    <n v="35"/>
    <n v="683"/>
    <n v="1.2095892208758039E-2"/>
    <n v="1.2350813743218807"/>
    <n v="19.514285714285716"/>
    <n v="7.5329428989751097"/>
    <n v="5145"/>
    <x v="2"/>
  </r>
  <r>
    <d v="2024-04-01T00:00:00"/>
    <s v="Campaign 53"/>
    <x v="1"/>
    <s v="Video"/>
    <n v="9652"/>
    <n v="1945"/>
    <n v="46"/>
    <n v="298"/>
    <n v="0.20151263986738499"/>
    <n v="0.1532133676092545"/>
    <n v="6.4782608695652177"/>
    <n v="19.912751677852349"/>
    <n v="5934"/>
    <x v="3"/>
  </r>
  <r>
    <d v="2024-05-01T00:00:00"/>
    <s v="Campaign 39"/>
    <x v="1"/>
    <s v="Video"/>
    <n v="33116"/>
    <n v="1133"/>
    <n v="63"/>
    <n v="368"/>
    <n v="3.4213069211257399E-2"/>
    <n v="0.32480141218005298"/>
    <n v="5.8412698412698409"/>
    <n v="15.75"/>
    <n v="5796"/>
    <x v="4"/>
  </r>
  <r>
    <d v="2024-06-01T00:00:00"/>
    <s v="Campaign 37"/>
    <x v="3"/>
    <s v="Photo"/>
    <n v="20897"/>
    <n v="1004"/>
    <n v="61"/>
    <n v="493"/>
    <n v="4.804517394841365E-2"/>
    <n v="0.49103585657370519"/>
    <n v="8.0819672131147549"/>
    <n v="10.393509127789047"/>
    <n v="5124"/>
    <x v="5"/>
  </r>
  <r>
    <d v="2024-07-01T00:00:00"/>
    <s v="Campaign 70"/>
    <x v="3"/>
    <s v="Photo"/>
    <n v="42582"/>
    <n v="1122"/>
    <n v="74"/>
    <n v="245"/>
    <n v="2.6349161617584896E-2"/>
    <n v="0.21836007130124777"/>
    <n v="3.310810810810811"/>
    <n v="35.942857142857143"/>
    <n v="8806"/>
    <x v="6"/>
  </r>
  <r>
    <d v="2024-08-01T00:00:00"/>
    <s v="Campaign 65"/>
    <x v="1"/>
    <s v="Video"/>
    <n v="26806"/>
    <n v="1290"/>
    <n v="16"/>
    <n v="1180"/>
    <n v="4.8123554428113106E-2"/>
    <n v="0.9147286821705426"/>
    <n v="73.75"/>
    <n v="1.8305084745762712"/>
    <n v="2160"/>
    <x v="7"/>
  </r>
  <r>
    <d v="2024-09-01T00:00:00"/>
    <s v="Campaign 49"/>
    <x v="1"/>
    <s v="Video"/>
    <n v="6809"/>
    <n v="872"/>
    <n v="43"/>
    <n v="1218"/>
    <n v="0.1280657952709649"/>
    <n v="1.3967889908256881"/>
    <n v="28.325581395348838"/>
    <n v="3.4950738916256157"/>
    <n v="4257"/>
    <x v="8"/>
  </r>
  <r>
    <d v="2024-10-01T00:00:00"/>
    <s v="Campaign 80"/>
    <x v="1"/>
    <s v="Video"/>
    <n v="39626"/>
    <n v="786"/>
    <n v="63"/>
    <n v="359"/>
    <n v="1.9835461565638722E-2"/>
    <n v="0.45674300254452926"/>
    <n v="5.6984126984126986"/>
    <n v="23.33983286908078"/>
    <n v="8379"/>
    <x v="9"/>
  </r>
  <r>
    <d v="2024-11-01T00:00:00"/>
    <s v="Campaign 79"/>
    <x v="1"/>
    <s v="Video"/>
    <n v="19294"/>
    <n v="1836"/>
    <n v="19"/>
    <n v="1498"/>
    <n v="9.5159116823883075E-2"/>
    <n v="0.81590413943355122"/>
    <n v="78.84210526315789"/>
    <n v="1.4332443257676903"/>
    <n v="2147"/>
    <x v="10"/>
  </r>
  <r>
    <d v="2024-12-01T00:00:00"/>
    <s v="Campaign 46"/>
    <x v="1"/>
    <s v="Video"/>
    <n v="29013"/>
    <n v="928"/>
    <n v="92"/>
    <n v="303"/>
    <n v="3.1985661599972424E-2"/>
    <n v="0.32650862068965519"/>
    <n v="3.2934782608695654"/>
    <n v="44.330033003300329"/>
    <n v="13432"/>
    <x v="11"/>
  </r>
  <r>
    <d v="2024-08-02T00:00:00"/>
    <s v="Campaign 1"/>
    <x v="1"/>
    <s v="Video"/>
    <n v="40718"/>
    <n v="626"/>
    <n v="53"/>
    <n v="1237"/>
    <n v="1.5374036052851319E-2"/>
    <n v="1.976038338658147"/>
    <n v="23.339622641509433"/>
    <n v="3.4704931285367824"/>
    <n v="4293"/>
    <x v="7"/>
  </r>
  <r>
    <d v="2024-10-02T00:00:00"/>
    <s v="Campaign 51"/>
    <x v="1"/>
    <s v="Video"/>
    <n v="8360"/>
    <n v="469"/>
    <n v="64"/>
    <n v="870"/>
    <n v="5.6100478468899519E-2"/>
    <n v="1.8550106609808101"/>
    <n v="13.59375"/>
    <n v="7.3563218390804597"/>
    <n v="6400"/>
    <x v="9"/>
  </r>
  <r>
    <d v="2024-11-02T00:00:00"/>
    <s v="LinkedIn Campaign 31"/>
    <x v="2"/>
    <s v="Sponsored Content"/>
    <n v="20162"/>
    <n v="1297"/>
    <n v="22"/>
    <n v="1446"/>
    <n v="6.4328935621466118E-2"/>
    <n v="1.1148804934464147"/>
    <n v="65.727272727272734"/>
    <n v="2.190871369294606"/>
    <n v="3168"/>
    <x v="10"/>
  </r>
  <r>
    <d v="2024-12-02T00:00:00"/>
    <s v="Campaign 87"/>
    <x v="3"/>
    <s v="Photo"/>
    <n v="11044"/>
    <n v="619"/>
    <n v="22"/>
    <n v="886"/>
    <n v="5.6048533140166605E-2"/>
    <n v="1.431340872374798"/>
    <n v="40.272727272727273"/>
    <n v="3.6749435665914221"/>
    <n v="3256"/>
    <x v="11"/>
  </r>
  <r>
    <d v="2024-01-03T00:00:00"/>
    <s v="Campaign 85"/>
    <x v="1"/>
    <s v="Video"/>
    <n v="27366"/>
    <n v="266"/>
    <n v="30"/>
    <n v="1476"/>
    <n v="9.7200906234013017E-3"/>
    <n v="5.5488721804511281"/>
    <n v="49.2"/>
    <n v="2.9878048780487805"/>
    <n v="4410"/>
    <x v="0"/>
  </r>
  <r>
    <d v="2024-02-03T00:00:00"/>
    <s v="Campaign 68"/>
    <x v="1"/>
    <s v="Video"/>
    <n v="44552"/>
    <n v="1735"/>
    <n v="67"/>
    <n v="740"/>
    <n v="3.8943257317292153E-2"/>
    <n v="0.4265129682997118"/>
    <n v="11.044776119402986"/>
    <n v="10.14054054054054"/>
    <n v="7504"/>
    <x v="1"/>
  </r>
  <r>
    <d v="2024-03-03T00:00:00"/>
    <s v="LinkedIn Campaign 92"/>
    <x v="2"/>
    <s v="Sponsored Content"/>
    <n v="12615"/>
    <n v="1379"/>
    <n v="53"/>
    <n v="1080"/>
    <n v="0.10931430836305984"/>
    <n v="0.7831762146482959"/>
    <n v="20.377358490566039"/>
    <n v="4.3675925925925929"/>
    <n v="4717"/>
    <x v="2"/>
  </r>
  <r>
    <d v="2024-04-03T00:00:00"/>
    <s v="Campaign 36"/>
    <x v="1"/>
    <s v="Video"/>
    <n v="47427"/>
    <n v="680"/>
    <n v="30"/>
    <n v="938"/>
    <n v="1.4337824445990681E-2"/>
    <n v="1.3794117647058823"/>
    <n v="31.266666666666666"/>
    <n v="3.7739872068230276"/>
    <n v="3540"/>
    <x v="3"/>
  </r>
  <r>
    <d v="2024-06-03T00:00:00"/>
    <s v="Campaign 37"/>
    <x v="1"/>
    <s v="Video"/>
    <n v="22872"/>
    <n v="1095"/>
    <n v="88"/>
    <n v="1203"/>
    <n v="4.7875131164742915E-2"/>
    <n v="1.0986301369863014"/>
    <n v="13.670454545454545"/>
    <n v="7.7539484621778882"/>
    <n v="9328"/>
    <x v="5"/>
  </r>
  <r>
    <d v="2024-07-03T00:00:00"/>
    <s v="Campaign 22"/>
    <x v="3"/>
    <s v="Photo"/>
    <n v="16771"/>
    <n v="568"/>
    <n v="93"/>
    <n v="935"/>
    <n v="3.386798640510405E-2"/>
    <n v="1.6461267605633803"/>
    <n v="10.053763440860216"/>
    <n v="14.919786096256685"/>
    <n v="13950"/>
    <x v="6"/>
  </r>
  <r>
    <d v="2024-08-03T00:00:00"/>
    <s v="Campaign 91"/>
    <x v="1"/>
    <s v="Video"/>
    <n v="31286"/>
    <n v="269"/>
    <n v="96"/>
    <n v="259"/>
    <n v="8.5980949945662598E-3"/>
    <n v="0.96282527881040891"/>
    <n v="2.6979166666666665"/>
    <n v="35.953667953667953"/>
    <n v="9312"/>
    <x v="7"/>
  </r>
  <r>
    <d v="2024-09-03T00:00:00"/>
    <s v="Campaign 76"/>
    <x v="1"/>
    <s v="Video"/>
    <n v="12511"/>
    <n v="628"/>
    <n v="10"/>
    <n v="947"/>
    <n v="5.019582767164895E-2"/>
    <n v="1.5079617834394905"/>
    <n v="94.7"/>
    <n v="1.3093980992608236"/>
    <n v="1240"/>
    <x v="8"/>
  </r>
  <r>
    <d v="2024-10-03T00:00:00"/>
    <s v="LinkedIn Campaign 63"/>
    <x v="2"/>
    <s v="Sponsored Content"/>
    <n v="43180"/>
    <n v="257"/>
    <n v="64"/>
    <n v="915"/>
    <n v="5.9518295507179249E-3"/>
    <n v="3.5603112840466924"/>
    <n v="14.296875"/>
    <n v="9.3027322404371589"/>
    <n v="8512"/>
    <x v="9"/>
  </r>
  <r>
    <d v="2024-11-03T00:00:00"/>
    <s v="Campaign 17"/>
    <x v="1"/>
    <s v="Video"/>
    <n v="5852"/>
    <n v="1677"/>
    <n v="67"/>
    <n v="762"/>
    <n v="0.28656869446343131"/>
    <n v="0.45438282647584971"/>
    <n v="11.373134328358208"/>
    <n v="8.528871391076116"/>
    <n v="6499"/>
    <x v="10"/>
  </r>
  <r>
    <d v="2024-12-03T00:00:00"/>
    <s v="Campaign 88"/>
    <x v="3"/>
    <s v="Photo"/>
    <n v="29684"/>
    <n v="408"/>
    <n v="72"/>
    <n v="589"/>
    <n v="1.3744778331761218E-2"/>
    <n v="1.4436274509803921"/>
    <n v="8.1805555555555554"/>
    <n v="16.013582342954159"/>
    <n v="9432"/>
    <x v="11"/>
  </r>
  <r>
    <d v="2024-01-04T00:00:00"/>
    <s v="Campaign 57"/>
    <x v="1"/>
    <s v="Video"/>
    <n v="38255"/>
    <n v="527"/>
    <n v="27"/>
    <n v="470"/>
    <n v="1.377597699647105E-2"/>
    <n v="0.89184060721062619"/>
    <n v="17.407407407407408"/>
    <n v="4.8255319148936167"/>
    <n v="2268"/>
    <x v="0"/>
  </r>
  <r>
    <d v="2024-02-04T00:00:00"/>
    <s v="Campaign 10"/>
    <x v="3"/>
    <s v="Photo"/>
    <n v="22537"/>
    <n v="1064"/>
    <n v="48"/>
    <n v="448"/>
    <n v="4.7211252606824336E-2"/>
    <n v="0.42105263157894735"/>
    <n v="9.3333333333333339"/>
    <n v="9.1071428571428577"/>
    <n v="4080"/>
    <x v="1"/>
  </r>
  <r>
    <d v="2024-04-04T00:00:00"/>
    <s v="Campaign 49"/>
    <x v="1"/>
    <s v="Video"/>
    <n v="17654"/>
    <n v="1480"/>
    <n v="94"/>
    <n v="1348"/>
    <n v="8.3833692081114755E-2"/>
    <n v="0.91081081081081083"/>
    <n v="14.340425531914894"/>
    <n v="8.646884272997033"/>
    <n v="11656"/>
    <x v="3"/>
  </r>
  <r>
    <d v="2024-04-03T00:00:00"/>
    <s v="LinkedIn Campaign 12"/>
    <x v="2"/>
    <s v="Sponsored Content"/>
    <n v="47414"/>
    <n v="719"/>
    <n v="48"/>
    <n v="579"/>
    <n v="1.516429746488379E-2"/>
    <n v="0.80528511821974968"/>
    <n v="12.0625"/>
    <n v="10.94300518134715"/>
    <n v="6336"/>
    <x v="3"/>
  </r>
  <r>
    <d v="2024-06-03T00:00:00"/>
    <s v="Campaign 17"/>
    <x v="1"/>
    <s v="Video"/>
    <n v="23979"/>
    <n v="1334"/>
    <n v="44"/>
    <n v="1353"/>
    <n v="5.5632011343258687E-2"/>
    <n v="1.0142428785607196"/>
    <n v="30.75"/>
    <n v="4"/>
    <n v="5412"/>
    <x v="5"/>
  </r>
  <r>
    <d v="2024-07-03T00:00:00"/>
    <s v="Campaign 23"/>
    <x v="3"/>
    <s v="Photo"/>
    <n v="14781"/>
    <n v="1955"/>
    <n v="87"/>
    <n v="524"/>
    <n v="0.13226439347811381"/>
    <n v="0.26803069053708439"/>
    <n v="6.0229885057471266"/>
    <n v="22.414122137404579"/>
    <n v="11745"/>
    <x v="6"/>
  </r>
  <r>
    <d v="2024-08-02T00:00:00"/>
    <s v="Campaign 75"/>
    <x v="1"/>
    <s v="Video"/>
    <n v="48873"/>
    <n v="1301"/>
    <n v="97"/>
    <n v="1204"/>
    <n v="2.6620015141284554E-2"/>
    <n v="0.92544196771714071"/>
    <n v="12.412371134020619"/>
    <n v="6.0423588039867111"/>
    <n v="7275"/>
    <x v="7"/>
  </r>
  <r>
    <d v="2024-10-02T00:00:00"/>
    <s v="Campaign 95"/>
    <x v="3"/>
    <s v="Photo"/>
    <n v="30860"/>
    <n v="1506"/>
    <n v="14"/>
    <n v="665"/>
    <n v="4.880103694102398E-2"/>
    <n v="0.44156706507304117"/>
    <n v="47.5"/>
    <n v="2.1263157894736842"/>
    <n v="1414"/>
    <x v="9"/>
  </r>
  <r>
    <d v="2024-11-02T00:00:00"/>
    <s v="Campaign 29"/>
    <x v="1"/>
    <s v="Video"/>
    <n v="7685"/>
    <n v="968"/>
    <n v="53"/>
    <n v="202"/>
    <n v="0.12595966167859465"/>
    <n v="0.20867768595041322"/>
    <n v="3.8113207547169812"/>
    <n v="33.059405940594061"/>
    <n v="6678"/>
    <x v="10"/>
  </r>
  <r>
    <d v="2024-12-02T00:00:00"/>
    <s v="Campaign 43"/>
    <x v="1"/>
    <s v="Video"/>
    <n v="45563"/>
    <n v="1181"/>
    <n v="29"/>
    <n v="1483"/>
    <n v="2.5920154511335954E-2"/>
    <n v="1.2557154953429297"/>
    <n v="51.137931034482762"/>
    <n v="1.7208361429534726"/>
    <n v="2552"/>
    <x v="11"/>
  </r>
  <r>
    <d v="2024-01-03T00:00:00"/>
    <s v="Campaign 15"/>
    <x v="1"/>
    <s v="Video"/>
    <n v="39366"/>
    <n v="1933"/>
    <n v="62"/>
    <n v="763"/>
    <n v="4.9103287100543618E-2"/>
    <n v="0.39472322814278321"/>
    <n v="12.306451612903226"/>
    <n v="10.157273918741808"/>
    <n v="7750"/>
    <x v="0"/>
  </r>
  <r>
    <d v="2024-02-03T00:00:00"/>
    <s v="Campaign 61"/>
    <x v="1"/>
    <s v="Video"/>
    <n v="9940"/>
    <n v="1226"/>
    <n v="72"/>
    <n v="711"/>
    <n v="0.12334004024144869"/>
    <n v="0.57993474714518756"/>
    <n v="9.875"/>
    <n v="8.3037974683544302"/>
    <n v="5904"/>
    <x v="1"/>
  </r>
  <r>
    <d v="2024-03-03T00:00:00"/>
    <s v="Campaign 64"/>
    <x v="1"/>
    <s v="Video"/>
    <n v="45134"/>
    <n v="804"/>
    <n v="39"/>
    <n v="1353"/>
    <n v="1.781362165994594E-2"/>
    <n v="1.6828358208955223"/>
    <n v="34.692307692307693"/>
    <n v="3.0266075388026605"/>
    <n v="4095"/>
    <x v="2"/>
  </r>
  <r>
    <d v="2024-04-03T00:00:00"/>
    <s v="Campaign 44"/>
    <x v="3"/>
    <s v="Photo"/>
    <n v="18672"/>
    <n v="1132"/>
    <n v="17"/>
    <n v="1244"/>
    <n v="6.0625535561268207E-2"/>
    <n v="1.0989399293286219"/>
    <n v="73.17647058823529"/>
    <n v="1.7491961414790997"/>
    <n v="2176"/>
    <x v="3"/>
  </r>
  <r>
    <d v="2024-06-03T00:00:00"/>
    <s v="Campaign 90"/>
    <x v="1"/>
    <s v="Video"/>
    <n v="7735"/>
    <n v="249"/>
    <n v="20"/>
    <n v="469"/>
    <n v="3.2191338073691012E-2"/>
    <n v="1.8835341365461848"/>
    <n v="23.45"/>
    <n v="5.4157782515991473"/>
    <n v="2540"/>
    <x v="5"/>
  </r>
  <r>
    <d v="2024-07-03T00:00:00"/>
    <s v="Campaign 10"/>
    <x v="1"/>
    <s v="Video"/>
    <n v="15936"/>
    <n v="448"/>
    <n v="79"/>
    <n v="886"/>
    <n v="2.8112449799196786E-2"/>
    <n v="1.9776785714285714"/>
    <n v="11.215189873417721"/>
    <n v="13.107223476297968"/>
    <n v="11613"/>
    <x v="6"/>
  </r>
  <r>
    <d v="2024-08-03T00:00:00"/>
    <s v="Campaign 19"/>
    <x v="1"/>
    <s v="Video"/>
    <n v="8930"/>
    <n v="394"/>
    <n v="87"/>
    <n v="1140"/>
    <n v="4.4120940649496079E-2"/>
    <n v="2.8934010152284264"/>
    <n v="13.103448275862069"/>
    <n v="7.5552631578947365"/>
    <n v="8613"/>
    <x v="7"/>
  </r>
  <r>
    <d v="2024-09-03T00:00:00"/>
    <s v="Campaign 16"/>
    <x v="1"/>
    <s v="Video"/>
    <n v="35407"/>
    <n v="453"/>
    <n v="17"/>
    <n v="396"/>
    <n v="1.2794080266613946E-2"/>
    <n v="0.8741721854304636"/>
    <n v="23.294117647058822"/>
    <n v="5.108585858585859"/>
    <n v="2023"/>
    <x v="8"/>
  </r>
  <r>
    <d v="2024-10-03T00:00:00"/>
    <s v="Campaign 89"/>
    <x v="3"/>
    <s v="Photo"/>
    <n v="15025"/>
    <n v="936"/>
    <n v="95"/>
    <n v="306"/>
    <n v="6.2296173044925122E-2"/>
    <n v="0.32692307692307693"/>
    <n v="3.2210526315789472"/>
    <n v="26.078431372549019"/>
    <n v="7980"/>
    <x v="9"/>
  </r>
  <r>
    <d v="2024-11-03T00:00:00"/>
    <s v="LinkedIn Campaign 23"/>
    <x v="2"/>
    <s v="Sponsored Content"/>
    <n v="27062"/>
    <n v="1410"/>
    <n v="61"/>
    <n v="893"/>
    <n v="5.2102579262434411E-2"/>
    <n v="0.6333333333333333"/>
    <n v="14.639344262295081"/>
    <n v="6.5576707726763717"/>
    <n v="5856"/>
    <x v="10"/>
  </r>
  <r>
    <d v="2024-12-03T00:00:00"/>
    <s v="Campaign 60"/>
    <x v="3"/>
    <s v="Photo"/>
    <n v="9776"/>
    <n v="1825"/>
    <n v="35"/>
    <n v="1395"/>
    <n v="0.18668166939443534"/>
    <n v="0.76438356164383559"/>
    <n v="39.857142857142854"/>
    <n v="3.1111111111111112"/>
    <n v="4340"/>
    <x v="11"/>
  </r>
  <r>
    <d v="2024-01-04T00:00:00"/>
    <s v="Campaign 66"/>
    <x v="3"/>
    <s v="Photo"/>
    <n v="28750"/>
    <n v="1295"/>
    <n v="39"/>
    <n v="332"/>
    <n v="4.5043478260869567E-2"/>
    <n v="0.25637065637065637"/>
    <n v="8.5128205128205128"/>
    <n v="15.506024096385541"/>
    <n v="5148"/>
    <x v="0"/>
  </r>
  <r>
    <d v="2024-02-04T00:00:00"/>
    <s v="Campaign 67"/>
    <x v="1"/>
    <s v="Video"/>
    <n v="27922"/>
    <n v="353"/>
    <n v="95"/>
    <n v="1289"/>
    <n v="1.2642360862402406E-2"/>
    <n v="3.6515580736543911"/>
    <n v="13.56842105263158"/>
    <n v="11.055081458494957"/>
    <n v="14250"/>
    <x v="1"/>
  </r>
  <r>
    <d v="2024-04-04T00:00:00"/>
    <s v="Campaign 74"/>
    <x v="3"/>
    <s v="Photo"/>
    <n v="44542"/>
    <n v="1447"/>
    <n v="89"/>
    <n v="1379"/>
    <n v="3.2486192806789098E-2"/>
    <n v="0.95300621976503108"/>
    <n v="15.49438202247191"/>
    <n v="9.5518491660623646"/>
    <n v="13172"/>
    <x v="3"/>
  </r>
  <r>
    <d v="2024-04-03T00:00:00"/>
    <s v="Campaign 28"/>
    <x v="1"/>
    <s v="Video"/>
    <n v="22499"/>
    <n v="1919"/>
    <n v="30"/>
    <n v="783"/>
    <n v="8.5292679674652205E-2"/>
    <n v="0.40802501302761857"/>
    <n v="26.1"/>
    <n v="5.4789272030651341"/>
    <n v="4290"/>
    <x v="3"/>
  </r>
  <r>
    <d v="2024-06-03T00:00:00"/>
    <s v="Campaign 67"/>
    <x v="1"/>
    <s v="Video"/>
    <n v="44857"/>
    <n v="1251"/>
    <n v="72"/>
    <n v="389"/>
    <n v="2.7888623849120539E-2"/>
    <n v="0.31095123900879296"/>
    <n v="5.4027777777777777"/>
    <n v="21.655526992287918"/>
    <n v="8424"/>
    <x v="5"/>
  </r>
  <r>
    <d v="2024-07-03T00:00:00"/>
    <s v="Campaign 8"/>
    <x v="3"/>
    <s v="Photo"/>
    <n v="27000"/>
    <n v="1363"/>
    <n v="24"/>
    <n v="729"/>
    <n v="5.0481481481481481E-2"/>
    <n v="0.53484959647835661"/>
    <n v="30.375"/>
    <n v="3.0288065843621399"/>
    <n v="2208"/>
    <x v="6"/>
  </r>
  <r>
    <d v="2024-08-03T00:00:00"/>
    <s v="Campaign 62"/>
    <x v="1"/>
    <s v="Video"/>
    <n v="28885"/>
    <n v="788"/>
    <n v="57"/>
    <n v="1191"/>
    <n v="2.7280595464774106E-2"/>
    <n v="1.5114213197969544"/>
    <n v="20.894736842105264"/>
    <n v="6.6045340050377837"/>
    <n v="7866"/>
    <x v="7"/>
  </r>
  <r>
    <d v="2024-09-03T00:00:00"/>
    <s v="Campaign 5"/>
    <x v="1"/>
    <s v="Video"/>
    <n v="37170"/>
    <n v="1192"/>
    <n v="18"/>
    <n v="1177"/>
    <n v="3.2068872746838846E-2"/>
    <n v="0.98741610738255037"/>
    <n v="65.388888888888886"/>
    <n v="1.4375531011045031"/>
    <n v="1692"/>
    <x v="8"/>
  </r>
  <r>
    <d v="2024-10-03T00:00:00"/>
    <s v="Campaign 4"/>
    <x v="3"/>
    <s v="Photo"/>
    <n v="49022"/>
    <n v="623"/>
    <n v="100"/>
    <n v="1143"/>
    <n v="1.270857982130472E-2"/>
    <n v="1.8346709470304976"/>
    <n v="11.43"/>
    <n v="6.5616797900262469"/>
    <n v="7500"/>
    <x v="9"/>
  </r>
  <r>
    <d v="2024-11-03T00:00:00"/>
    <s v="LinkedIn Campaign 84"/>
    <x v="2"/>
    <s v="Sponsored Content"/>
    <n v="28651"/>
    <n v="797"/>
    <n v="95"/>
    <n v="935"/>
    <n v="2.7817528184007539E-2"/>
    <n v="1.1731493099121706"/>
    <n v="9.8421052631578956"/>
    <n v="11.379679144385026"/>
    <n v="10640"/>
    <x v="10"/>
  </r>
  <r>
    <d v="2024-12-03T00:00:00"/>
    <s v="Campaign 37"/>
    <x v="3"/>
    <s v="Photo"/>
    <n v="42889"/>
    <n v="264"/>
    <n v="62"/>
    <n v="657"/>
    <n v="6.1554244678122599E-3"/>
    <n v="2.4886363636363638"/>
    <n v="10.596774193548388"/>
    <n v="9.4368340943683418"/>
    <n v="6200"/>
    <x v="11"/>
  </r>
  <r>
    <d v="2024-01-04T00:00:00"/>
    <s v="Campaign 24"/>
    <x v="1"/>
    <s v="Video"/>
    <n v="22057"/>
    <n v="1967"/>
    <n v="79"/>
    <n v="1174"/>
    <n v="8.917803871786735E-2"/>
    <n v="0.59684799186578541"/>
    <n v="14.860759493670885"/>
    <n v="6.8637137989778534"/>
    <n v="8058"/>
    <x v="0"/>
  </r>
  <r>
    <d v="2024-02-04T00:00:00"/>
    <s v="Campaign 36"/>
    <x v="1"/>
    <s v="Video"/>
    <n v="49573"/>
    <n v="1580"/>
    <n v="71"/>
    <n v="1485"/>
    <n v="3.1872188489702052E-2"/>
    <n v="0.939873417721519"/>
    <n v="20.91549295774648"/>
    <n v="6.8848484848484848"/>
    <n v="10224"/>
    <x v="1"/>
  </r>
  <r>
    <d v="2024-04-04T00:00:00"/>
    <s v="Campaign 22"/>
    <x v="1"/>
    <s v="Video"/>
    <n v="47917"/>
    <n v="1303"/>
    <n v="98"/>
    <n v="832"/>
    <n v="2.7192854310578708E-2"/>
    <n v="0.63852647735993862"/>
    <n v="8.4897959183673475"/>
    <n v="12.95673076923077"/>
    <n v="10780"/>
    <x v="3"/>
  </r>
  <r>
    <d v="2024-06-04T00:00:00"/>
    <s v="LinkedIn Campaign 59"/>
    <x v="2"/>
    <s v="Sponsored Content"/>
    <n v="38711"/>
    <n v="1303"/>
    <n v="96"/>
    <n v="521"/>
    <n v="3.3659683294154114E-2"/>
    <n v="0.39984650805832694"/>
    <n v="5.427083333333333"/>
    <n v="20.637236084452976"/>
    <n v="10752"/>
    <x v="5"/>
  </r>
  <r>
    <d v="2024-07-04T00:00:00"/>
    <s v="Campaign 57"/>
    <x v="1"/>
    <s v="Video"/>
    <n v="40898"/>
    <n v="214"/>
    <n v="56"/>
    <n v="1009"/>
    <n v="5.2325297080541835E-3"/>
    <n v="4.7149532710280377"/>
    <n v="18.017857142857142"/>
    <n v="7.6035678889990086"/>
    <n v="7672"/>
    <x v="6"/>
  </r>
  <r>
    <d v="2024-08-04T00:00:00"/>
    <s v="Campaign 57"/>
    <x v="1"/>
    <s v="Video"/>
    <n v="47281"/>
    <n v="910"/>
    <n v="31"/>
    <n v="202"/>
    <n v="1.92466318394281E-2"/>
    <n v="0.22197802197802197"/>
    <n v="6.5161290322580649"/>
    <n v="13.965346534653465"/>
    <n v="2821"/>
    <x v="7"/>
  </r>
  <r>
    <d v="2024-10-04T00:00:00"/>
    <s v="Campaign 22"/>
    <x v="1"/>
    <s v="Video"/>
    <n v="32860"/>
    <n v="1245"/>
    <n v="84"/>
    <n v="562"/>
    <n v="3.7888009738283629E-2"/>
    <n v="0.45140562248995986"/>
    <n v="6.6904761904761907"/>
    <n v="20.028469750889681"/>
    <n v="11256"/>
    <x v="9"/>
  </r>
  <r>
    <d v="2024-11-04T00:00:00"/>
    <s v="Campaign 8"/>
    <x v="1"/>
    <s v="Video"/>
    <n v="32988"/>
    <n v="1632"/>
    <n v="20"/>
    <n v="932"/>
    <n v="4.9472535467442708E-2"/>
    <n v="0.57107843137254899"/>
    <n v="46.6"/>
    <n v="2.2317596566523603"/>
    <n v="2080"/>
    <x v="10"/>
  </r>
  <r>
    <d v="2024-01-05T00:00:00"/>
    <s v="Campaign 60"/>
    <x v="1"/>
    <s v="Video"/>
    <n v="27186"/>
    <n v="746"/>
    <n v="47"/>
    <n v="573"/>
    <n v="2.7440594423600383E-2"/>
    <n v="0.76809651474530827"/>
    <n v="12.191489361702128"/>
    <n v="9.6788830715532281"/>
    <n v="5546"/>
    <x v="0"/>
  </r>
  <r>
    <d v="2024-02-05T00:00:00"/>
    <s v="Campaign 10"/>
    <x v="1"/>
    <s v="Video"/>
    <n v="32821"/>
    <n v="1643"/>
    <n v="65"/>
    <n v="289"/>
    <n v="5.0059413180585599E-2"/>
    <n v="0.17589774802191113"/>
    <n v="4.4461538461538463"/>
    <n v="19.792387543252595"/>
    <n v="5720"/>
    <x v="1"/>
  </r>
  <r>
    <d v="2024-03-05T00:00:00"/>
    <s v="Campaign 61"/>
    <x v="1"/>
    <s v="Video"/>
    <n v="48269"/>
    <n v="1529"/>
    <n v="77"/>
    <n v="1233"/>
    <n v="3.1676645466034103E-2"/>
    <n v="0.80640941792020926"/>
    <n v="16.012987012987011"/>
    <n v="6.0575831305758312"/>
    <n v="7469"/>
    <x v="2"/>
  </r>
  <r>
    <d v="2024-05-05T00:00:00"/>
    <s v="Campaign 89"/>
    <x v="1"/>
    <s v="Video"/>
    <n v="45597"/>
    <n v="1812"/>
    <n v="70"/>
    <n v="335"/>
    <n v="3.9739456543193628E-2"/>
    <n v="0.18487858719646799"/>
    <n v="4.7857142857142856"/>
    <n v="31.134328358208954"/>
    <n v="10430"/>
    <x v="4"/>
  </r>
  <r>
    <d v="2024-06-05T00:00:00"/>
    <s v="Campaign 60"/>
    <x v="3"/>
    <s v="Photo"/>
    <n v="43084"/>
    <n v="1482"/>
    <n v="93"/>
    <n v="1385"/>
    <n v="3.4397920341658159E-2"/>
    <n v="0.93454790823211875"/>
    <n v="14.89247311827957"/>
    <n v="6.1104693140794222"/>
    <n v="8463"/>
    <x v="5"/>
  </r>
  <r>
    <d v="2024-07-05T00:00:00"/>
    <s v="Campaign 78"/>
    <x v="3"/>
    <s v="Photo"/>
    <n v="22790"/>
    <n v="1590"/>
    <n v="63"/>
    <n v="768"/>
    <n v="6.9767441860465115E-2"/>
    <n v="0.48301886792452831"/>
    <n v="12.19047619047619"/>
    <n v="6.3984375"/>
    <n v="4914"/>
    <x v="6"/>
  </r>
  <r>
    <d v="2024-03-05T00:00:00"/>
    <s v="Campaign 99"/>
    <x v="3"/>
    <s v="Photo"/>
    <n v="45553"/>
    <n v="1802"/>
    <n v="88"/>
    <n v="465"/>
    <n v="3.9558316686057998E-2"/>
    <n v="0.25804661487236402"/>
    <n v="5.2840909090909092"/>
    <n v="20.249462365591398"/>
    <n v="9416"/>
    <x v="2"/>
  </r>
  <r>
    <d v="2024-01-04T00:00:00"/>
    <s v="Campaign 65"/>
    <x v="1"/>
    <s v="Video"/>
    <n v="37154"/>
    <n v="926"/>
    <n v="58"/>
    <n v="1178"/>
    <n v="2.4923292243096303E-2"/>
    <n v="1.2721382289416847"/>
    <n v="20.310344827586206"/>
    <n v="4.9728353140916806"/>
    <n v="5858"/>
    <x v="0"/>
  </r>
  <r>
    <d v="2024-02-04T00:00:00"/>
    <s v="Campaign 65"/>
    <x v="1"/>
    <s v="Video"/>
    <n v="24117"/>
    <n v="1220"/>
    <n v="26"/>
    <n v="937"/>
    <n v="5.0586723058423516E-2"/>
    <n v="0.7680327868852459"/>
    <n v="36.03846153846154"/>
    <n v="3.0245464247598721"/>
    <n v="2834"/>
    <x v="1"/>
  </r>
  <r>
    <d v="2024-04-04T00:00:00"/>
    <s v="Campaign 85"/>
    <x v="1"/>
    <s v="Video"/>
    <n v="18438"/>
    <n v="1763"/>
    <n v="97"/>
    <n v="1111"/>
    <n v="9.5617745959431608E-2"/>
    <n v="0.63017583664208732"/>
    <n v="11.453608247422681"/>
    <n v="11.961296129612961"/>
    <n v="13289"/>
    <x v="3"/>
  </r>
  <r>
    <d v="2024-06-04T00:00:00"/>
    <s v="Campaign 6"/>
    <x v="3"/>
    <s v="Photo"/>
    <n v="16245"/>
    <n v="1114"/>
    <n v="51"/>
    <n v="693"/>
    <n v="6.857494613727301E-2"/>
    <n v="0.62208258527827653"/>
    <n v="13.588235294117647"/>
    <n v="7.8008658008658012"/>
    <n v="5406"/>
    <x v="5"/>
  </r>
  <r>
    <d v="2024-07-04T00:00:00"/>
    <s v="Campaign 59"/>
    <x v="1"/>
    <s v="Video"/>
    <n v="38334"/>
    <n v="632"/>
    <n v="44"/>
    <n v="537"/>
    <n v="1.6486669797047007E-2"/>
    <n v="0.84968354430379744"/>
    <n v="12.204545454545455"/>
    <n v="9.094972067039107"/>
    <n v="4884"/>
    <x v="6"/>
  </r>
  <r>
    <d v="2024-08-04T00:00:00"/>
    <s v="Campaign 18"/>
    <x v="1"/>
    <s v="Video"/>
    <n v="35237"/>
    <n v="1956"/>
    <n v="51"/>
    <n v="760"/>
    <n v="5.5509833413741237E-2"/>
    <n v="0.3885480572597137"/>
    <n v="14.901960784313726"/>
    <n v="6.1736842105263161"/>
    <n v="4692"/>
    <x v="7"/>
  </r>
  <r>
    <d v="2024-10-04T00:00:00"/>
    <s v="Campaign 3"/>
    <x v="3"/>
    <s v="Photo"/>
    <n v="37487"/>
    <n v="1506"/>
    <n v="87"/>
    <n v="298"/>
    <n v="4.0173926961346598E-2"/>
    <n v="0.19787516600265603"/>
    <n v="3.4252873563218391"/>
    <n v="37.369127516778526"/>
    <n v="11136"/>
    <x v="9"/>
  </r>
  <r>
    <d v="2024-11-04T00:00:00"/>
    <s v="Campaign 70"/>
    <x v="3"/>
    <s v="Photo"/>
    <n v="41791"/>
    <n v="533"/>
    <n v="73"/>
    <n v="238"/>
    <n v="1.2753942236366682E-2"/>
    <n v="0.44652908067542213"/>
    <n v="3.2602739726027399"/>
    <n v="32.819327731092436"/>
    <n v="7811"/>
    <x v="10"/>
  </r>
  <r>
    <d v="2024-01-05T00:00:00"/>
    <s v="LinkedIn Campaign 88"/>
    <x v="2"/>
    <s v="Sponsored Content"/>
    <n v="49373"/>
    <n v="1103"/>
    <n v="81"/>
    <n v="1387"/>
    <n v="2.2340145423612096E-2"/>
    <n v="1.2574796010879419"/>
    <n v="17.123456790123456"/>
    <n v="8.1759192501802449"/>
    <n v="11340"/>
    <x v="0"/>
  </r>
  <r>
    <d v="2024-02-05T00:00:00"/>
    <s v="Campaign 63"/>
    <x v="1"/>
    <s v="Video"/>
    <n v="25480"/>
    <n v="718"/>
    <n v="27"/>
    <n v="1215"/>
    <n v="2.8178963893249608E-2"/>
    <n v="1.6922005571030641"/>
    <n v="45"/>
    <n v="2.9333333333333331"/>
    <n v="3564"/>
    <x v="1"/>
  </r>
  <r>
    <d v="2024-03-05T00:00:00"/>
    <s v="Campaign 97"/>
    <x v="3"/>
    <s v="Photo"/>
    <n v="19314"/>
    <n v="1680"/>
    <n v="88"/>
    <n v="1193"/>
    <n v="8.6983535259397324E-2"/>
    <n v="0.71011904761904765"/>
    <n v="13.556818181818182"/>
    <n v="9.2204526404023479"/>
    <n v="11000"/>
    <x v="2"/>
  </r>
  <r>
    <d v="2024-05-05T00:00:00"/>
    <s v="Campaign 99"/>
    <x v="1"/>
    <s v="Video"/>
    <n v="18125"/>
    <n v="1952"/>
    <n v="18"/>
    <n v="1201"/>
    <n v="0.10769655172413793"/>
    <n v="0.61526639344262291"/>
    <n v="66.722222222222229"/>
    <n v="1.4687760199833473"/>
    <n v="1764"/>
    <x v="4"/>
  </r>
  <r>
    <d v="2024-06-05T00:00:00"/>
    <s v="LinkedIn Campaign 29"/>
    <x v="2"/>
    <s v="Sponsored Content"/>
    <n v="44479"/>
    <n v="1988"/>
    <n v="64"/>
    <n v="1437"/>
    <n v="4.4695249443557634E-2"/>
    <n v="0.72283702213279677"/>
    <n v="22.453125"/>
    <n v="5.0327070285316635"/>
    <n v="7232"/>
    <x v="5"/>
  </r>
  <r>
    <d v="2024-07-05T00:00:00"/>
    <s v="Campaign 34"/>
    <x v="1"/>
    <s v="Video"/>
    <n v="35955"/>
    <n v="559"/>
    <n v="24"/>
    <n v="614"/>
    <n v="1.5547211792518426E-2"/>
    <n v="1.0983899821109124"/>
    <n v="25.583333333333332"/>
    <n v="3.8306188925081432"/>
    <n v="2352"/>
    <x v="6"/>
  </r>
  <r>
    <d v="2024-08-05T00:00:00"/>
    <s v="Campaign 14"/>
    <x v="3"/>
    <s v="Photo"/>
    <n v="49790"/>
    <n v="438"/>
    <n v="27"/>
    <n v="761"/>
    <n v="8.796947178148223E-3"/>
    <n v="1.7374429223744292"/>
    <n v="28.185185185185187"/>
    <n v="3.7253613666228644"/>
    <n v="2835"/>
    <x v="7"/>
  </r>
  <r>
    <d v="2024-09-05T00:00:00"/>
    <s v="Campaign 14"/>
    <x v="3"/>
    <s v="Photo"/>
    <n v="29557"/>
    <n v="254"/>
    <n v="43"/>
    <n v="732"/>
    <n v="8.5935649761477821E-3"/>
    <n v="2.8818897637795278"/>
    <n v="17.023255813953487"/>
    <n v="5.8743169398907105"/>
    <n v="4300"/>
    <x v="8"/>
  </r>
  <r>
    <d v="2024-10-05T00:00:00"/>
    <s v="Campaign 46"/>
    <x v="1"/>
    <s v="Video"/>
    <n v="7648"/>
    <n v="827"/>
    <n v="64"/>
    <n v="356"/>
    <n v="0.10813284518828452"/>
    <n v="0.43047158403869407"/>
    <n v="5.5625"/>
    <n v="20.674157303370787"/>
    <n v="7360"/>
    <x v="9"/>
  </r>
  <r>
    <d v="2024-11-05T00:00:00"/>
    <s v="Campaign 9"/>
    <x v="1"/>
    <s v="Video"/>
    <n v="37041"/>
    <n v="1399"/>
    <n v="18"/>
    <n v="214"/>
    <n v="3.7768958721416807E-2"/>
    <n v="0.15296640457469621"/>
    <n v="11.888888888888889"/>
    <n v="11.186915887850468"/>
    <n v="2394"/>
    <x v="10"/>
  </r>
  <r>
    <d v="2024-12-05T00:00:00"/>
    <s v="Campaign 57"/>
    <x v="1"/>
    <s v="Video"/>
    <n v="18986"/>
    <n v="1355"/>
    <n v="74"/>
    <n v="1334"/>
    <n v="7.1368376698620034E-2"/>
    <n v="0.98450184501845017"/>
    <n v="18.027027027027028"/>
    <n v="6.6566716641679164"/>
    <n v="8880"/>
    <x v="11"/>
  </r>
  <r>
    <d v="2024-08-06T00:00:00"/>
    <s v="Campaign 66"/>
    <x v="3"/>
    <s v="Photo"/>
    <n v="10665"/>
    <n v="1082"/>
    <n v="84"/>
    <n v="1452"/>
    <n v="0.10145335208626348"/>
    <n v="1.3419593345656193"/>
    <n v="17.285714285714285"/>
    <n v="7.9256198347107434"/>
    <n v="11508"/>
    <x v="7"/>
  </r>
  <r>
    <d v="2024-09-06T00:00:00"/>
    <s v="Campaign 96"/>
    <x v="1"/>
    <s v="Video"/>
    <n v="25200"/>
    <n v="1432"/>
    <n v="17"/>
    <n v="1231"/>
    <n v="5.6825396825396828E-2"/>
    <n v="0.85963687150837986"/>
    <n v="72.411764705882348"/>
    <n v="1.7400487408610885"/>
    <n v="2142"/>
    <x v="8"/>
  </r>
  <r>
    <d v="2024-03-05T00:00:00"/>
    <s v="Campaign 90"/>
    <x v="1"/>
    <s v="Video"/>
    <n v="48992"/>
    <n v="1770"/>
    <n v="72"/>
    <n v="1292"/>
    <n v="3.6128347485303726E-2"/>
    <n v="0.72994350282485876"/>
    <n v="17.944444444444443"/>
    <n v="5.2383900928792571"/>
    <n v="6768"/>
    <x v="2"/>
  </r>
  <r>
    <d v="2024-05-05T00:00:00"/>
    <s v="Campaign 53"/>
    <x v="1"/>
    <s v="Video"/>
    <n v="5539"/>
    <n v="1966"/>
    <n v="43"/>
    <n v="1405"/>
    <n v="0.35493771438887883"/>
    <n v="0.71464903357070197"/>
    <n v="32.674418604651166"/>
    <n v="3.121708185053381"/>
    <n v="4386"/>
    <x v="4"/>
  </r>
  <r>
    <d v="2024-06-05T00:00:00"/>
    <s v="Campaign 46"/>
    <x v="1"/>
    <s v="Video"/>
    <n v="22386"/>
    <n v="1677"/>
    <n v="78"/>
    <n v="518"/>
    <n v="7.4912891986062713E-2"/>
    <n v="0.30888491353607633"/>
    <n v="6.6410256410256414"/>
    <n v="14.606177606177607"/>
    <n v="7566"/>
    <x v="5"/>
  </r>
  <r>
    <d v="2024-07-05T00:00:00"/>
    <s v="Campaign 9"/>
    <x v="3"/>
    <s v="Photo"/>
    <n v="25046"/>
    <n v="1049"/>
    <n v="71"/>
    <n v="1315"/>
    <n v="4.1882935398866089E-2"/>
    <n v="1.2535748331744518"/>
    <n v="18.52112676056338"/>
    <n v="6.1551330798479089"/>
    <n v="8094"/>
    <x v="6"/>
  </r>
  <r>
    <d v="2024-08-05T00:00:00"/>
    <s v="Campaign 95"/>
    <x v="1"/>
    <s v="Video"/>
    <n v="43510"/>
    <n v="420"/>
    <n v="40"/>
    <n v="1125"/>
    <n v="9.6529533440588376E-3"/>
    <n v="2.6785714285714284"/>
    <n v="28.125"/>
    <n v="4.5866666666666669"/>
    <n v="5160"/>
    <x v="7"/>
  </r>
  <r>
    <d v="2024-09-05T00:00:00"/>
    <s v="Campaign 86"/>
    <x v="1"/>
    <s v="Video"/>
    <n v="27957"/>
    <n v="390"/>
    <n v="68"/>
    <n v="774"/>
    <n v="1.3949994634617447E-2"/>
    <n v="1.9846153846153847"/>
    <n v="11.382352941176471"/>
    <n v="9.92764857881137"/>
    <n v="7684"/>
    <x v="8"/>
  </r>
  <r>
    <d v="2024-10-05T00:00:00"/>
    <s v="Campaign 69"/>
    <x v="3"/>
    <s v="Photo"/>
    <n v="48899"/>
    <n v="984"/>
    <n v="55"/>
    <n v="214"/>
    <n v="2.0123110902063437E-2"/>
    <n v="0.21747967479674796"/>
    <n v="3.8909090909090911"/>
    <n v="28.528037383177569"/>
    <n v="6105"/>
    <x v="9"/>
  </r>
  <r>
    <d v="2024-11-05T00:00:00"/>
    <s v="Campaign 66"/>
    <x v="3"/>
    <s v="Photo"/>
    <n v="42724"/>
    <n v="800"/>
    <n v="60"/>
    <n v="823"/>
    <n v="1.8724838498267952E-2"/>
    <n v="1.0287500000000001"/>
    <n v="13.716666666666667"/>
    <n v="9.4775212636695016"/>
    <n v="7800"/>
    <x v="10"/>
  </r>
  <r>
    <d v="2024-12-05T00:00:00"/>
    <s v="Campaign 39"/>
    <x v="1"/>
    <s v="Video"/>
    <n v="8762"/>
    <n v="799"/>
    <n v="80"/>
    <n v="423"/>
    <n v="9.1189226204063001E-2"/>
    <n v="0.52941176470588236"/>
    <n v="5.2874999999999996"/>
    <n v="19.101654846335698"/>
    <n v="8080"/>
    <x v="11"/>
  </r>
  <r>
    <d v="2024-08-06T00:00:00"/>
    <s v="LinkedIn Campaign 23"/>
    <x v="2"/>
    <s v="Sponsored Content"/>
    <n v="28239"/>
    <n v="1994"/>
    <n v="70"/>
    <n v="569"/>
    <n v="7.0611565565352877E-2"/>
    <n v="0.28535606820461384"/>
    <n v="8.1285714285714281"/>
    <n v="10.579964850615115"/>
    <n v="6020"/>
    <x v="7"/>
  </r>
  <r>
    <d v="2024-09-06T00:00:00"/>
    <s v="Campaign 94"/>
    <x v="3"/>
    <s v="Photo"/>
    <n v="41695"/>
    <n v="716"/>
    <n v="61"/>
    <n v="1114"/>
    <n v="1.7172322820482071E-2"/>
    <n v="1.5558659217877095"/>
    <n v="18.262295081967213"/>
    <n v="6.0780969479353679"/>
    <n v="6771"/>
    <x v="8"/>
  </r>
  <r>
    <d v="2024-10-06T00:00:00"/>
    <s v="Campaign 6"/>
    <x v="3"/>
    <s v="Photo"/>
    <n v="45942"/>
    <n v="1566"/>
    <n v="57"/>
    <n v="1167"/>
    <n v="3.4086456836881288E-2"/>
    <n v="0.74521072796934862"/>
    <n v="20.473684210526315"/>
    <n v="4.2982005141388173"/>
    <n v="5016"/>
    <x v="9"/>
  </r>
  <r>
    <d v="2024-12-06T00:00:00"/>
    <s v="Campaign 73"/>
    <x v="3"/>
    <s v="Photo"/>
    <n v="42146"/>
    <n v="1196"/>
    <n v="91"/>
    <n v="915"/>
    <n v="2.8377544725478099E-2"/>
    <n v="0.76505016722408026"/>
    <n v="10.054945054945055"/>
    <n v="11.834972677595628"/>
    <n v="10829"/>
    <x v="11"/>
  </r>
  <r>
    <d v="2024-01-05T00:00:00"/>
    <s v="Campaign 82"/>
    <x v="1"/>
    <s v="Video"/>
    <n v="14905"/>
    <n v="1909"/>
    <n v="13"/>
    <n v="1215"/>
    <n v="0.12807782623280778"/>
    <n v="0.63645887899423781"/>
    <n v="93.461538461538467"/>
    <n v="1.4551440329218106"/>
    <n v="1768"/>
    <x v="0"/>
  </r>
  <r>
    <d v="2024-02-05T00:00:00"/>
    <s v="Campaign 65"/>
    <x v="3"/>
    <s v="Photo"/>
    <n v="6640"/>
    <n v="955"/>
    <n v="20"/>
    <n v="1237"/>
    <n v="0.14382530120481929"/>
    <n v="1.2952879581151833"/>
    <n v="61.85"/>
    <n v="1.5359741309620047"/>
    <n v="1900"/>
    <x v="1"/>
  </r>
  <r>
    <d v="2024-03-05T00:00:00"/>
    <s v="Campaign 72"/>
    <x v="1"/>
    <s v="Video"/>
    <n v="25615"/>
    <n v="1274"/>
    <n v="90"/>
    <n v="267"/>
    <n v="4.9736482529767714E-2"/>
    <n v="0.20957613814756673"/>
    <n v="2.9666666666666668"/>
    <n v="50.561797752808985"/>
    <n v="13500"/>
    <x v="2"/>
  </r>
  <r>
    <d v="2024-05-05T00:00:00"/>
    <s v="LinkedIn Campaign 31"/>
    <x v="2"/>
    <s v="Sponsored Content"/>
    <n v="44680"/>
    <n v="776"/>
    <n v="10"/>
    <n v="1105"/>
    <n v="1.7367949865711729E-2"/>
    <n v="1.4239690721649485"/>
    <n v="110.5"/>
    <n v="1.1131221719457014"/>
    <n v="1230"/>
    <x v="4"/>
  </r>
  <r>
    <d v="2024-06-05T00:00:00"/>
    <s v="Campaign 93"/>
    <x v="1"/>
    <s v="Video"/>
    <n v="7927"/>
    <n v="363"/>
    <n v="48"/>
    <n v="1262"/>
    <n v="4.5792859846095622E-2"/>
    <n v="3.4765840220385673"/>
    <n v="26.291666666666668"/>
    <n v="4.7543581616481774"/>
    <n v="6000"/>
    <x v="5"/>
  </r>
  <r>
    <d v="2024-07-05T00:00:00"/>
    <s v="Campaign 89"/>
    <x v="3"/>
    <s v="Photo"/>
    <n v="7327"/>
    <n v="230"/>
    <n v="69"/>
    <n v="496"/>
    <n v="3.1390746553841956E-2"/>
    <n v="2.1565217391304348"/>
    <n v="7.1884057971014492"/>
    <n v="16.276209677419356"/>
    <n v="8073"/>
    <x v="6"/>
  </r>
  <r>
    <d v="2024-08-05T00:00:00"/>
    <s v="LinkedIn Campaign 5"/>
    <x v="2"/>
    <s v="Sponsored Content"/>
    <n v="13822"/>
    <n v="868"/>
    <n v="23"/>
    <n v="632"/>
    <n v="6.2798437273911156E-2"/>
    <n v="0.72811059907834097"/>
    <n v="27.478260869565219"/>
    <n v="2.9841772151898733"/>
    <n v="1886"/>
    <x v="7"/>
  </r>
  <r>
    <d v="2024-09-05T00:00:00"/>
    <s v="Campaign 48"/>
    <x v="1"/>
    <s v="Video"/>
    <n v="46558"/>
    <n v="849"/>
    <n v="49"/>
    <n v="881"/>
    <n v="1.8235319386571587E-2"/>
    <n v="1.0376914016489989"/>
    <n v="17.979591836734695"/>
    <n v="6.396140749148695"/>
    <n v="5635"/>
    <x v="8"/>
  </r>
  <r>
    <d v="2024-10-05T00:00:00"/>
    <s v="Campaign 25"/>
    <x v="3"/>
    <s v="Photo"/>
    <n v="45771"/>
    <n v="309"/>
    <n v="25"/>
    <n v="270"/>
    <n v="6.7509995411942064E-3"/>
    <n v="0.87378640776699024"/>
    <n v="10.8"/>
    <n v="7.3148148148148149"/>
    <n v="1975"/>
    <x v="9"/>
  </r>
  <r>
    <d v="2024-11-05T00:00:00"/>
    <s v="Campaign 17"/>
    <x v="3"/>
    <s v="Photo"/>
    <n v="36839"/>
    <n v="1387"/>
    <n v="76"/>
    <n v="1091"/>
    <n v="3.7650316240940306E-2"/>
    <n v="0.78658976207642395"/>
    <n v="14.355263157894736"/>
    <n v="9.682859761686526"/>
    <n v="10564"/>
    <x v="10"/>
  </r>
  <r>
    <d v="2024-12-05T00:00:00"/>
    <s v="Campaign 94"/>
    <x v="1"/>
    <s v="Video"/>
    <n v="33407"/>
    <n v="1130"/>
    <n v="67"/>
    <n v="1221"/>
    <n v="3.3825246205884993E-2"/>
    <n v="1.0805309734513275"/>
    <n v="18.223880597014926"/>
    <n v="7.1334971334971335"/>
    <n v="8710"/>
    <x v="11"/>
  </r>
  <r>
    <d v="2024-08-06T00:00:00"/>
    <s v="Email Campaign 94"/>
    <x v="4"/>
    <s v="Newsletter"/>
    <n v="40613"/>
    <n v="344"/>
    <n v="89"/>
    <n v="1477"/>
    <n v="8.4701942727698036E-3"/>
    <n v="4.2936046511627906"/>
    <n v="16.59550561797753"/>
    <n v="6.6885578876100205"/>
    <n v="9879"/>
    <x v="7"/>
  </r>
  <r>
    <d v="2024-09-06T00:00:00"/>
    <s v="Campaign 27"/>
    <x v="1"/>
    <s v="Video"/>
    <n v="33959"/>
    <n v="1039"/>
    <n v="29"/>
    <n v="1400"/>
    <n v="3.0595718366265203E-2"/>
    <n v="1.3474494706448508"/>
    <n v="48.275862068965516"/>
    <n v="1.8642857142857143"/>
    <n v="2610"/>
    <x v="8"/>
  </r>
  <r>
    <d v="2024-03-06T00:00:00"/>
    <s v="Campaign 84"/>
    <x v="1"/>
    <s v="Video"/>
    <n v="10400"/>
    <n v="733"/>
    <n v="56"/>
    <n v="826"/>
    <n v="7.0480769230769236E-2"/>
    <n v="1.1268758526603002"/>
    <n v="14.75"/>
    <n v="5.5593220338983054"/>
    <n v="4592"/>
    <x v="2"/>
  </r>
  <r>
    <d v="2024-04-06T00:00:00"/>
    <s v="Campaign 56"/>
    <x v="1"/>
    <s v="Video"/>
    <n v="17090"/>
    <n v="802"/>
    <n v="43"/>
    <n v="855"/>
    <n v="4.6928028086600349E-2"/>
    <n v="1.0660847880299251"/>
    <n v="19.88372093023256"/>
    <n v="7.3929824561403512"/>
    <n v="6321"/>
    <x v="3"/>
  </r>
  <r>
    <d v="2024-06-06T00:00:00"/>
    <s v="Campaign 13"/>
    <x v="3"/>
    <s v="Photo"/>
    <n v="20573"/>
    <n v="1253"/>
    <n v="22"/>
    <n v="468"/>
    <n v="6.0905069751616199E-2"/>
    <n v="0.37350359138068634"/>
    <n v="21.272727272727273"/>
    <n v="3.5256410256410255"/>
    <n v="1650"/>
    <x v="5"/>
  </r>
  <r>
    <d v="2024-07-06T00:00:00"/>
    <s v="Campaign 67"/>
    <x v="1"/>
    <s v="Video"/>
    <n v="39278"/>
    <n v="1088"/>
    <n v="33"/>
    <n v="1303"/>
    <n v="2.7699984724273131E-2"/>
    <n v="1.197610294117647"/>
    <n v="39.484848484848484"/>
    <n v="2.7605525709900229"/>
    <n v="3597"/>
    <x v="6"/>
  </r>
  <r>
    <d v="2024-08-06T00:00:00"/>
    <s v="Campaign 76"/>
    <x v="1"/>
    <s v="Video"/>
    <n v="30332"/>
    <n v="490"/>
    <n v="19"/>
    <n v="1381"/>
    <n v="1.6154556244230515E-2"/>
    <n v="2.8183673469387753"/>
    <n v="72.684210526315795"/>
    <n v="1.169442433019551"/>
    <n v="1615"/>
    <x v="7"/>
  </r>
  <r>
    <d v="2024-09-06T00:00:00"/>
    <s v="Campaign 72"/>
    <x v="1"/>
    <s v="Video"/>
    <n v="49138"/>
    <n v="853"/>
    <n v="25"/>
    <n v="236"/>
    <n v="1.7359273881720868E-2"/>
    <n v="0.27667057444314186"/>
    <n v="9.44"/>
    <n v="14.300847457627119"/>
    <n v="3375"/>
    <x v="8"/>
  </r>
  <r>
    <d v="2024-10-06T00:00:00"/>
    <s v="Campaign 37"/>
    <x v="1"/>
    <s v="Video"/>
    <n v="40976"/>
    <n v="1463"/>
    <n v="72"/>
    <n v="325"/>
    <n v="3.570382663022257E-2"/>
    <n v="0.22214627477785373"/>
    <n v="4.5138888888888893"/>
    <n v="31.236923076923077"/>
    <n v="10152"/>
    <x v="9"/>
  </r>
  <r>
    <d v="2024-12-06T00:00:00"/>
    <s v="Campaign 73"/>
    <x v="1"/>
    <s v="Video"/>
    <n v="6702"/>
    <n v="1049"/>
    <n v="67"/>
    <n v="202"/>
    <n v="0.1565204416592062"/>
    <n v="0.19256434699714015"/>
    <n v="3.0149253731343282"/>
    <n v="29.188118811881189"/>
    <n v="5896"/>
    <x v="11"/>
  </r>
  <r>
    <d v="2024-01-06T00:00:00"/>
    <s v="Campaign 93"/>
    <x v="1"/>
    <s v="Video"/>
    <n v="29191"/>
    <n v="272"/>
    <n v="21"/>
    <n v="633"/>
    <n v="9.3179404611010239E-3"/>
    <n v="2.3272058823529411"/>
    <n v="30.142857142857142"/>
    <n v="3.6492890995260665"/>
    <n v="2310"/>
    <x v="0"/>
  </r>
  <r>
    <d v="2024-02-06T00:00:00"/>
    <s v="Campaign 56"/>
    <x v="1"/>
    <s v="Video"/>
    <n v="30881"/>
    <n v="1225"/>
    <n v="97"/>
    <n v="840"/>
    <n v="3.9668404520578994E-2"/>
    <n v="0.68571428571428572"/>
    <n v="8.6597938144329891"/>
    <n v="12.471428571428572"/>
    <n v="10476"/>
    <x v="1"/>
  </r>
  <r>
    <d v="2024-03-06T00:00:00"/>
    <s v="Campaign 85"/>
    <x v="3"/>
    <s v="Photo"/>
    <n v="39688"/>
    <n v="381"/>
    <n v="32"/>
    <n v="476"/>
    <n v="9.5998790566418062E-3"/>
    <n v="1.2493438320209973"/>
    <n v="14.875"/>
    <n v="5.848739495798319"/>
    <n v="2784"/>
    <x v="2"/>
  </r>
  <r>
    <d v="2024-04-06T00:00:00"/>
    <s v="LinkedIn Campaign 16"/>
    <x v="2"/>
    <s v="Sponsored Content"/>
    <n v="22615"/>
    <n v="771"/>
    <n v="79"/>
    <n v="503"/>
    <n v="3.4092416537696221E-2"/>
    <n v="0.65239948119325553"/>
    <n v="6.3670886075949369"/>
    <n v="14.449304174950298"/>
    <n v="7268"/>
    <x v="3"/>
  </r>
  <r>
    <d v="2024-06-06T00:00:00"/>
    <s v="Campaign 46"/>
    <x v="3"/>
    <s v="Photo"/>
    <n v="23257"/>
    <n v="1451"/>
    <n v="27"/>
    <n v="629"/>
    <n v="6.2389818119275915E-2"/>
    <n v="0.43349414197105446"/>
    <n v="23.296296296296298"/>
    <n v="3.9491255961844196"/>
    <n v="2484"/>
    <x v="5"/>
  </r>
  <r>
    <d v="2024-07-06T00:00:00"/>
    <s v="Campaign 88"/>
    <x v="1"/>
    <s v="Video"/>
    <n v="29147"/>
    <n v="1954"/>
    <n v="35"/>
    <n v="1017"/>
    <n v="6.7039489484338008E-2"/>
    <n v="0.52047082906857722"/>
    <n v="29.057142857142857"/>
    <n v="4.4739429695181911"/>
    <n v="4550"/>
    <x v="6"/>
  </r>
  <r>
    <d v="2024-08-06T00:00:00"/>
    <s v="Campaign 76"/>
    <x v="1"/>
    <s v="Video"/>
    <n v="49767"/>
    <n v="1795"/>
    <n v="40"/>
    <n v="1175"/>
    <n v="3.6068077239938115E-2"/>
    <n v="0.65459610027855153"/>
    <n v="29.375"/>
    <n v="4.493617021276596"/>
    <n v="5280"/>
    <x v="7"/>
  </r>
  <r>
    <d v="2024-09-06T00:00:00"/>
    <s v="Campaign 55"/>
    <x v="3"/>
    <s v="Photo"/>
    <n v="14252"/>
    <n v="646"/>
    <n v="93"/>
    <n v="467"/>
    <n v="4.5326971653101317E-2"/>
    <n v="0.72291021671826627"/>
    <n v="5.021505376344086"/>
    <n v="27.880085653104924"/>
    <n v="13020"/>
    <x v="8"/>
  </r>
  <r>
    <d v="2024-10-06T00:00:00"/>
    <s v="Campaign 30"/>
    <x v="1"/>
    <s v="Video"/>
    <n v="38313"/>
    <n v="1579"/>
    <n v="62"/>
    <n v="702"/>
    <n v="4.1213165244172997E-2"/>
    <n v="0.44458518049398354"/>
    <n v="11.32258064516129"/>
    <n v="8.3903133903133895"/>
    <n v="5890"/>
    <x v="9"/>
  </r>
  <r>
    <d v="2024-12-06T00:00:00"/>
    <s v="Campaign 37"/>
    <x v="1"/>
    <s v="Video"/>
    <n v="15205"/>
    <n v="1873"/>
    <n v="65"/>
    <n v="1403"/>
    <n v="0.12318316343308122"/>
    <n v="0.74906567004805125"/>
    <n v="21.584615384615386"/>
    <n v="3.9379900213827512"/>
    <n v="5525"/>
    <x v="11"/>
  </r>
  <r>
    <d v="2024-01-06T00:00:00"/>
    <s v="Campaign 17"/>
    <x v="3"/>
    <s v="Photo"/>
    <n v="31316"/>
    <n v="421"/>
    <n v="91"/>
    <n v="1423"/>
    <n v="1.3443607101800996E-2"/>
    <n v="3.3800475059382422"/>
    <n v="15.637362637362637"/>
    <n v="5.3717498243148274"/>
    <n v="7644"/>
    <x v="0"/>
  </r>
  <r>
    <d v="2024-02-06T00:00:00"/>
    <s v="Campaign 69"/>
    <x v="3"/>
    <s v="Photo"/>
    <n v="21936"/>
    <n v="1775"/>
    <n v="87"/>
    <n v="1380"/>
    <n v="8.0917213712618521E-2"/>
    <n v="0.77746478873239433"/>
    <n v="15.862068965517242"/>
    <n v="4.9173913043478263"/>
    <n v="6786"/>
    <x v="1"/>
  </r>
  <r>
    <d v="2024-03-06T00:00:00"/>
    <s v="Campaign 65"/>
    <x v="1"/>
    <s v="Video"/>
    <n v="24747"/>
    <n v="420"/>
    <n v="82"/>
    <n v="686"/>
    <n v="1.6971754152018428E-2"/>
    <n v="1.6333333333333333"/>
    <n v="8.3658536585365848"/>
    <n v="10.758017492711371"/>
    <n v="7380"/>
    <x v="2"/>
  </r>
  <r>
    <d v="2024-04-06T00:00:00"/>
    <s v="Campaign 23"/>
    <x v="1"/>
    <s v="Video"/>
    <n v="40457"/>
    <n v="1831"/>
    <n v="61"/>
    <n v="1272"/>
    <n v="4.5257928170650323E-2"/>
    <n v="0.69470234844347356"/>
    <n v="20.852459016393443"/>
    <n v="5.9465408805031448"/>
    <n v="7564"/>
    <x v="3"/>
  </r>
  <r>
    <d v="2024-06-06T00:00:00"/>
    <s v="Campaign 74"/>
    <x v="1"/>
    <s v="Video"/>
    <n v="47991"/>
    <n v="484"/>
    <n v="95"/>
    <n v="1123"/>
    <n v="1.0085224312892001E-2"/>
    <n v="2.3202479338842976"/>
    <n v="11.821052631578947"/>
    <n v="11.589492430988424"/>
    <n v="13015"/>
    <x v="5"/>
  </r>
  <r>
    <d v="2024-07-06T00:00:00"/>
    <s v="Campaign 10"/>
    <x v="3"/>
    <s v="Photo"/>
    <n v="48292"/>
    <n v="1333"/>
    <n v="28"/>
    <n v="1204"/>
    <n v="2.7602915596786216E-2"/>
    <n v="0.90322580645161288"/>
    <n v="43"/>
    <n v="3.3953488372093021"/>
    <n v="4088"/>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6CF794-83B3-4E6D-B56C-F087116AA48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B24" firstHeaderRow="1" firstDataRow="1" firstDataCol="1"/>
  <pivotFields count="14">
    <pivotField numFmtId="14" showAll="0"/>
    <pivotField showAll="0"/>
    <pivotField showAll="0">
      <items count="6">
        <item x="4"/>
        <item x="1"/>
        <item x="0"/>
        <item x="3"/>
        <item x="2"/>
        <item t="default"/>
      </items>
    </pivotField>
    <pivotField showAll="0"/>
    <pivotField showAll="0"/>
    <pivotField showAll="0"/>
    <pivotField showAll="0"/>
    <pivotField showAll="0"/>
    <pivotField numFmtId="9" showAll="0"/>
    <pivotField numFmtId="164" showAll="0"/>
    <pivotField numFmtId="164" showAll="0"/>
    <pivotField numFmtId="2" showAll="0"/>
    <pivotField dataField="1" showAll="0"/>
    <pivotField axis="axisRow" showAll="0">
      <items count="13">
        <item x="0"/>
        <item x="1"/>
        <item x="2"/>
        <item x="3"/>
        <item x="4"/>
        <item x="5"/>
        <item x="6"/>
        <item x="7"/>
        <item x="8"/>
        <item x="9"/>
        <item x="10"/>
        <item x="11"/>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Revenue" fld="12" baseField="0" baseItem="0"/>
  </dataFields>
  <formats count="8">
    <format dxfId="16">
      <pivotArea type="all" dataOnly="0" outline="0" fieldPosition="0"/>
    </format>
    <format dxfId="15">
      <pivotArea outline="0" collapsedLevelsAreSubtotals="1" fieldPosition="0"/>
    </format>
    <format dxfId="14">
      <pivotArea field="13" type="button" dataOnly="0" labelOnly="1" outline="0" axis="axisRow" fieldPosition="0"/>
    </format>
    <format dxfId="13">
      <pivotArea dataOnly="0" labelOnly="1" fieldPosition="0">
        <references count="1">
          <reference field="13" count="0"/>
        </references>
      </pivotArea>
    </format>
    <format dxfId="12">
      <pivotArea dataOnly="0" labelOnly="1" grandRow="1" outline="0" fieldPosition="0"/>
    </format>
    <format dxfId="11">
      <pivotArea dataOnly="0" labelOnly="1" outline="0" axis="axisValues" fieldPosition="0"/>
    </format>
    <format dxfId="10">
      <pivotArea collapsedLevelsAreSubtotals="1" fieldPosition="0">
        <references count="1">
          <reference field="13" count="0"/>
        </references>
      </pivotArea>
    </format>
    <format dxfId="9">
      <pivotArea dataOnly="0" labelOnly="1" fieldPosition="0">
        <references count="1">
          <reference field="13"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5014C2-B7FC-4C2D-B256-2D0A73EEDC9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1:F17" firstHeaderRow="0" firstDataRow="1" firstDataCol="1"/>
  <pivotFields count="13">
    <pivotField showAll="0">
      <items count="146">
        <item x="12"/>
        <item x="13"/>
        <item x="14"/>
        <item x="15"/>
        <item x="16"/>
        <item x="17"/>
        <item x="18"/>
        <item x="19"/>
        <item x="20"/>
        <item x="21"/>
        <item x="22"/>
        <item x="23"/>
        <item x="24"/>
        <item x="25"/>
        <item x="26"/>
        <item x="37"/>
        <item x="38"/>
        <item x="39"/>
        <item x="40"/>
        <item x="41"/>
        <item x="42"/>
        <item x="43"/>
        <item x="44"/>
        <item x="45"/>
        <item x="46"/>
        <item x="47"/>
        <item x="59"/>
        <item x="60"/>
        <item x="61"/>
        <item x="62"/>
        <item x="63"/>
        <item x="64"/>
        <item x="65"/>
        <item x="66"/>
        <item x="67"/>
        <item x="68"/>
        <item x="69"/>
        <item x="70"/>
        <item x="71"/>
        <item x="72"/>
        <item x="73"/>
        <item x="82"/>
        <item x="83"/>
        <item x="84"/>
        <item x="85"/>
        <item x="86"/>
        <item x="87"/>
        <item x="88"/>
        <item x="89"/>
        <item x="90"/>
        <item x="91"/>
        <item x="92"/>
        <item x="104"/>
        <item x="105"/>
        <item x="106"/>
        <item x="107"/>
        <item x="108"/>
        <item x="109"/>
        <item x="110"/>
        <item x="111"/>
        <item x="112"/>
        <item x="113"/>
        <item x="114"/>
        <item x="115"/>
        <item x="116"/>
        <item x="117"/>
        <item x="118"/>
        <item x="129"/>
        <item x="130"/>
        <item x="131"/>
        <item x="132"/>
        <item x="133"/>
        <item x="134"/>
        <item x="135"/>
        <item x="136"/>
        <item x="137"/>
        <item x="138"/>
        <item x="139"/>
        <item x="140"/>
        <item x="141"/>
        <item x="142"/>
        <item x="143"/>
        <item x="144"/>
        <item x="0"/>
        <item x="27"/>
        <item x="48"/>
        <item x="74"/>
        <item x="93"/>
        <item x="119"/>
        <item x="1"/>
        <item x="28"/>
        <item x="49"/>
        <item x="75"/>
        <item x="94"/>
        <item x="120"/>
        <item x="2"/>
        <item x="29"/>
        <item x="50"/>
        <item x="95"/>
        <item x="121"/>
        <item x="3"/>
        <item x="51"/>
        <item x="76"/>
        <item x="122"/>
        <item x="4"/>
        <item x="30"/>
        <item x="96"/>
        <item x="5"/>
        <item x="31"/>
        <item x="52"/>
        <item x="77"/>
        <item x="97"/>
        <item x="123"/>
        <item x="6"/>
        <item x="32"/>
        <item x="53"/>
        <item x="78"/>
        <item x="98"/>
        <item x="124"/>
        <item x="7"/>
        <item x="33"/>
        <item x="54"/>
        <item x="79"/>
        <item x="99"/>
        <item x="125"/>
        <item x="8"/>
        <item x="55"/>
        <item x="100"/>
        <item x="126"/>
        <item x="9"/>
        <item x="34"/>
        <item x="56"/>
        <item x="80"/>
        <item x="101"/>
        <item x="127"/>
        <item x="10"/>
        <item x="35"/>
        <item x="57"/>
        <item x="81"/>
        <item x="102"/>
        <item x="11"/>
        <item x="36"/>
        <item x="58"/>
        <item x="103"/>
        <item x="128"/>
        <item t="default"/>
      </items>
    </pivotField>
    <pivotField showAll="0"/>
    <pivotField axis="axisRow" showAll="0">
      <items count="6">
        <item x="4"/>
        <item x="1"/>
        <item x="0"/>
        <item x="3"/>
        <item x="2"/>
        <item t="default"/>
      </items>
    </pivotField>
    <pivotField showAll="0"/>
    <pivotField showAll="0"/>
    <pivotField showAll="0"/>
    <pivotField showAll="0"/>
    <pivotField dataField="1" showAll="0"/>
    <pivotField numFmtId="9" showAll="0"/>
    <pivotField numFmtId="164" showAll="0"/>
    <pivotField numFmtId="164" showAll="0"/>
    <pivotField dataField="1" numFmtId="2" showAll="0"/>
    <pivotField showAll="0"/>
  </pivotFields>
  <rowFields count="1">
    <field x="2"/>
  </rowFields>
  <rowItems count="6">
    <i>
      <x/>
    </i>
    <i>
      <x v="1"/>
    </i>
    <i>
      <x v="2"/>
    </i>
    <i>
      <x v="3"/>
    </i>
    <i>
      <x v="4"/>
    </i>
    <i t="grand">
      <x/>
    </i>
  </rowItems>
  <colFields count="1">
    <field x="-2"/>
  </colFields>
  <colItems count="2">
    <i>
      <x/>
    </i>
    <i i="1">
      <x v="1"/>
    </i>
  </colItems>
  <dataFields count="2">
    <dataField name="Sum of ROAS" fld="11" baseField="0" baseItem="0" numFmtId="2"/>
    <dataField name="Sum of Spend" fld="7" baseField="0" baseItem="0"/>
  </dataFields>
  <formats count="9">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type="all" dataOnly="0" outline="0" fieldPosition="0"/>
    </format>
    <format dxfId="21">
      <pivotArea outline="0" collapsedLevelsAreSubtotals="1" fieldPosition="0"/>
    </format>
    <format dxfId="20">
      <pivotArea field="2" type="button" dataOnly="0" labelOnly="1" outline="0" axis="axisRow" fieldPosition="0"/>
    </format>
    <format dxfId="19">
      <pivotArea dataOnly="0" labelOnly="1" fieldPosition="0">
        <references count="1">
          <reference field="2" count="0"/>
        </references>
      </pivotArea>
    </format>
    <format dxfId="18">
      <pivotArea dataOnly="0" labelOnly="1" grandRow="1" outline="0" fieldPosition="0"/>
    </format>
    <format dxfId="17">
      <pivotArea dataOnly="0" labelOnly="1" outline="0" fieldPosition="0">
        <references count="1">
          <reference field="4294967294" count="2">
            <x v="0"/>
            <x v="1"/>
          </reference>
        </references>
      </pivotArea>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B8A572-F185-4C7A-AD73-955621D5D90D}" name="Pie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3">
    <pivotField showAll="0"/>
    <pivotField showAll="0"/>
    <pivotField axis="axisRow" showAll="0">
      <items count="6">
        <item x="4"/>
        <item x="1"/>
        <item x="0"/>
        <item x="3"/>
        <item x="2"/>
        <item t="default"/>
      </items>
    </pivotField>
    <pivotField showAll="0"/>
    <pivotField showAll="0"/>
    <pivotField showAll="0"/>
    <pivotField showAll="0"/>
    <pivotField dataField="1" showAll="0"/>
    <pivotField numFmtId="9" showAll="0"/>
    <pivotField numFmtId="164" showAll="0"/>
    <pivotField numFmtId="164" showAll="0"/>
    <pivotField numFmtId="2" showAll="0"/>
    <pivotField showAll="0"/>
  </pivotFields>
  <rowFields count="1">
    <field x="2"/>
  </rowFields>
  <rowItems count="6">
    <i>
      <x/>
    </i>
    <i>
      <x v="1"/>
    </i>
    <i>
      <x v="2"/>
    </i>
    <i>
      <x v="3"/>
    </i>
    <i>
      <x v="4"/>
    </i>
    <i t="grand">
      <x/>
    </i>
  </rowItems>
  <colItems count="1">
    <i/>
  </colItems>
  <dataFields count="1">
    <dataField name="Sum of Spend" fld="7"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2"/>
          </reference>
        </references>
      </pivotArea>
    </chartFormat>
    <chartFormat chart="1" format="4">
      <pivotArea type="data" outline="0" fieldPosition="0">
        <references count="2">
          <reference field="4294967294" count="1" selected="0">
            <x v="0"/>
          </reference>
          <reference field="2" count="1" selected="0">
            <x v="3"/>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D2C0AA-680E-41AB-8B33-9F02C2285F5F}" name="Bar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13">
    <pivotField showAll="0">
      <items count="146">
        <item x="12"/>
        <item x="13"/>
        <item x="14"/>
        <item x="15"/>
        <item x="16"/>
        <item x="17"/>
        <item x="18"/>
        <item x="19"/>
        <item x="20"/>
        <item x="21"/>
        <item x="22"/>
        <item x="23"/>
        <item x="24"/>
        <item x="25"/>
        <item x="26"/>
        <item x="37"/>
        <item x="38"/>
        <item x="39"/>
        <item x="40"/>
        <item x="41"/>
        <item x="42"/>
        <item x="43"/>
        <item x="44"/>
        <item x="45"/>
        <item x="46"/>
        <item x="47"/>
        <item x="59"/>
        <item x="60"/>
        <item x="61"/>
        <item x="62"/>
        <item x="63"/>
        <item x="64"/>
        <item x="65"/>
        <item x="66"/>
        <item x="67"/>
        <item x="68"/>
        <item x="69"/>
        <item x="70"/>
        <item x="71"/>
        <item x="72"/>
        <item x="73"/>
        <item x="82"/>
        <item x="83"/>
        <item x="84"/>
        <item x="85"/>
        <item x="86"/>
        <item x="87"/>
        <item x="88"/>
        <item x="89"/>
        <item x="90"/>
        <item x="91"/>
        <item x="92"/>
        <item x="104"/>
        <item x="105"/>
        <item x="106"/>
        <item x="107"/>
        <item x="108"/>
        <item x="109"/>
        <item x="110"/>
        <item x="111"/>
        <item x="112"/>
        <item x="113"/>
        <item x="114"/>
        <item x="115"/>
        <item x="116"/>
        <item x="117"/>
        <item x="118"/>
        <item x="129"/>
        <item x="130"/>
        <item x="131"/>
        <item x="132"/>
        <item x="133"/>
        <item x="134"/>
        <item x="135"/>
        <item x="136"/>
        <item x="137"/>
        <item x="138"/>
        <item x="139"/>
        <item x="140"/>
        <item x="141"/>
        <item x="142"/>
        <item x="143"/>
        <item x="144"/>
        <item x="0"/>
        <item x="27"/>
        <item x="48"/>
        <item x="74"/>
        <item x="93"/>
        <item x="119"/>
        <item x="1"/>
        <item x="28"/>
        <item x="49"/>
        <item x="75"/>
        <item x="94"/>
        <item x="120"/>
        <item x="2"/>
        <item x="29"/>
        <item x="50"/>
        <item x="95"/>
        <item x="121"/>
        <item x="3"/>
        <item x="51"/>
        <item x="76"/>
        <item x="122"/>
        <item x="4"/>
        <item x="30"/>
        <item x="96"/>
        <item x="5"/>
        <item x="31"/>
        <item x="52"/>
        <item x="77"/>
        <item x="97"/>
        <item x="123"/>
        <item x="6"/>
        <item x="32"/>
        <item x="53"/>
        <item x="78"/>
        <item x="98"/>
        <item x="124"/>
        <item x="7"/>
        <item x="33"/>
        <item x="54"/>
        <item x="79"/>
        <item x="99"/>
        <item x="125"/>
        <item x="8"/>
        <item x="55"/>
        <item x="100"/>
        <item x="126"/>
        <item x="9"/>
        <item x="34"/>
        <item x="56"/>
        <item x="80"/>
        <item x="101"/>
        <item x="127"/>
        <item x="10"/>
        <item x="35"/>
        <item x="57"/>
        <item x="81"/>
        <item x="102"/>
        <item x="11"/>
        <item x="36"/>
        <item x="58"/>
        <item x="103"/>
        <item x="128"/>
        <item t="default"/>
      </items>
    </pivotField>
    <pivotField showAll="0"/>
    <pivotField axis="axisRow" showAll="0">
      <items count="6">
        <item x="4"/>
        <item x="1"/>
        <item x="0"/>
        <item x="3"/>
        <item x="2"/>
        <item t="default"/>
      </items>
    </pivotField>
    <pivotField showAll="0"/>
    <pivotField showAll="0"/>
    <pivotField showAll="0"/>
    <pivotField showAll="0"/>
    <pivotField showAll="0"/>
    <pivotField numFmtId="9" showAll="0"/>
    <pivotField numFmtId="164" showAll="0"/>
    <pivotField numFmtId="164" showAll="0"/>
    <pivotField dataField="1" numFmtId="2" showAll="0"/>
    <pivotField showAll="0"/>
  </pivotFields>
  <rowFields count="1">
    <field x="2"/>
  </rowFields>
  <rowItems count="6">
    <i>
      <x/>
    </i>
    <i>
      <x v="1"/>
    </i>
    <i>
      <x v="2"/>
    </i>
    <i>
      <x v="3"/>
    </i>
    <i>
      <x v="4"/>
    </i>
    <i t="grand">
      <x/>
    </i>
  </rowItems>
  <colItems count="1">
    <i/>
  </colItems>
  <dataFields count="1">
    <dataField name="Sum of ROAS" fld="11" baseField="0" baseItem="0" numFmtId="2"/>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C2ED30-366E-4523-BC95-D6460BB6FEAE}" name="LineGraph"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14">
    <pivotField numFmtId="14" showAll="0"/>
    <pivotField showAll="0"/>
    <pivotField showAll="0"/>
    <pivotField showAll="0"/>
    <pivotField showAll="0"/>
    <pivotField showAll="0"/>
    <pivotField showAll="0"/>
    <pivotField showAll="0"/>
    <pivotField numFmtId="9" showAll="0"/>
    <pivotField numFmtId="164" showAll="0"/>
    <pivotField numFmtId="164" showAll="0"/>
    <pivotField numFmtId="2" showAll="0"/>
    <pivotField dataField="1" showAll="0"/>
    <pivotField axis="axisRow" showAll="0">
      <items count="13">
        <item x="0"/>
        <item x="1"/>
        <item x="2"/>
        <item x="3"/>
        <item x="4"/>
        <item x="5"/>
        <item x="6"/>
        <item x="7"/>
        <item x="8"/>
        <item x="9"/>
        <item x="10"/>
        <item x="11"/>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Revenue" fld="1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E8DAB52-A751-48FB-A0BF-86C6D1EBF375}" sourceName="Month">
  <pivotTables>
    <pivotTable tabId="2" name="PivotTable2"/>
  </pivotTables>
  <data>
    <tabular pivotCacheId="81961516">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3713DFA3-56D8-408F-AF48-CC7F0776C545}" sourceName="Channel">
  <pivotTables>
    <pivotTable tabId="2" name="PivotTable3"/>
  </pivotTables>
  <data>
    <tabular pivotCacheId="1094365403">
      <items count="5">
        <i x="4" s="1"/>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FB796392-1956-4DA8-84AB-1B5589491E26}" cache="Slicer_Month" caption="Month" rowHeight="247650"/>
  <slicer name="Channel 1" xr10:uid="{73ECC373-7930-409E-BCDA-1A1F44D1AF53}" cache="Slicer_Channel" caption="Channe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35EDA12-1C0A-4D2B-945C-18B53FB8AAA5}" name="Table1" displayName="Table1" ref="H11:L16" totalsRowShown="0" headerRowDxfId="8" dataDxfId="7">
  <autoFilter ref="H11:L16" xr:uid="{735EDA12-1C0A-4D2B-945C-18B53FB8AAA5}"/>
  <tableColumns count="5">
    <tableColumn id="1" xr3:uid="{DA9E6CB2-6033-4625-86D9-177D058997BD}" name="Channel" dataDxfId="6"/>
    <tableColumn id="2" xr3:uid="{71191275-CBD3-413D-9F18-8918D12ECC8D}" name="Spend" dataDxfId="5">
      <calculatedColumnFormula>SUMIFS(Raw_Data!H:H,Raw_Data!C:C,H12)</calculatedColumnFormula>
    </tableColumn>
    <tableColumn id="3" xr3:uid="{4487E4AF-A999-4566-A973-44F990FA8DE4}" name="Revenue" dataDxfId="4">
      <calculatedColumnFormula>SUMIFS(Raw_Data!M:M,Raw_Data!C:C, H12)</calculatedColumnFormula>
    </tableColumn>
    <tableColumn id="4" xr3:uid="{EE27AA34-387A-4B1B-A3A6-0E6C248E71D4}" name="ROAS" dataDxfId="3">
      <calculatedColumnFormula>IF(I12=0,0,J12/I12)</calculatedColumnFormula>
    </tableColumn>
    <tableColumn id="5" xr3:uid="{D06FFEDA-F4CE-45CC-8DC7-B5CC52686610}" name="CTR" dataDxfId="2">
      <calculatedColumnFormula>AVERAGEIFS(Raw_Data!I:I,Raw_Data!C:C,H12)</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CDD77-7069-4294-AD0D-9B6525EFD081}">
  <dimension ref="A1:U25"/>
  <sheetViews>
    <sheetView showGridLines="0" zoomScale="58" workbookViewId="0">
      <selection activeCell="AB32" sqref="AB32"/>
    </sheetView>
  </sheetViews>
  <sheetFormatPr defaultRowHeight="18" x14ac:dyDescent="0.5"/>
  <cols>
    <col min="1" max="1" width="18.88671875" bestFit="1" customWidth="1"/>
    <col min="2" max="2" width="21.33203125" bestFit="1" customWidth="1"/>
    <col min="3" max="3" width="2.77734375" customWidth="1"/>
    <col min="4" max="4" width="17.77734375" customWidth="1"/>
    <col min="5" max="5" width="18.109375" bestFit="1" customWidth="1"/>
    <col min="6" max="6" width="18.6640625" bestFit="1" customWidth="1"/>
    <col min="7" max="7" width="2.88671875" customWidth="1"/>
    <col min="8" max="8" width="21.21875" bestFit="1" customWidth="1"/>
    <col min="9" max="9" width="13.109375" bestFit="1" customWidth="1"/>
    <col min="10" max="10" width="15.6640625" bestFit="1" customWidth="1"/>
    <col min="11" max="11" width="13.88671875" customWidth="1"/>
    <col min="12" max="12" width="13.88671875" bestFit="1" customWidth="1"/>
    <col min="13" max="13" width="4.5546875" customWidth="1"/>
    <col min="15" max="15" width="20.77734375" customWidth="1"/>
    <col min="16" max="16" width="8.88671875" customWidth="1"/>
    <col min="19" max="19" width="19" customWidth="1"/>
  </cols>
  <sheetData>
    <row r="1" spans="1:21" x14ac:dyDescent="0.5">
      <c r="A1" s="34" t="s">
        <v>162</v>
      </c>
      <c r="B1" s="34"/>
      <c r="C1" s="34"/>
      <c r="D1" s="34"/>
      <c r="E1" s="34"/>
      <c r="F1" s="34"/>
      <c r="G1" s="34"/>
      <c r="H1" s="34"/>
      <c r="I1" s="34"/>
      <c r="J1" s="34"/>
    </row>
    <row r="2" spans="1:21" x14ac:dyDescent="0.5">
      <c r="A2" s="34"/>
      <c r="B2" s="34"/>
      <c r="C2" s="34"/>
      <c r="D2" s="34"/>
      <c r="E2" s="34"/>
      <c r="F2" s="34"/>
      <c r="G2" s="34"/>
      <c r="H2" s="34"/>
      <c r="I2" s="34"/>
      <c r="J2" s="34"/>
    </row>
    <row r="4" spans="1:21" s="31" customFormat="1" x14ac:dyDescent="0.5">
      <c r="A4" s="32"/>
      <c r="B4" s="32"/>
      <c r="C4" s="32"/>
      <c r="D4" s="30"/>
      <c r="E4" s="32"/>
      <c r="F4" s="32"/>
      <c r="G4" s="32"/>
      <c r="H4" s="30"/>
      <c r="I4" s="32"/>
      <c r="J4" s="32"/>
      <c r="K4" s="32"/>
      <c r="L4" s="30"/>
      <c r="M4" s="32"/>
      <c r="N4" s="32"/>
      <c r="O4" s="32"/>
      <c r="P4" s="30"/>
      <c r="Q4" s="32"/>
      <c r="R4" s="32"/>
      <c r="S4" s="32"/>
    </row>
    <row r="5" spans="1:21" s="31" customFormat="1" x14ac:dyDescent="0.5">
      <c r="A5" s="32"/>
      <c r="B5" s="32"/>
      <c r="C5" s="32"/>
      <c r="D5" s="30"/>
      <c r="E5" s="32"/>
      <c r="F5" s="32"/>
      <c r="G5" s="32"/>
      <c r="H5" s="30"/>
      <c r="I5" s="32"/>
      <c r="J5" s="32"/>
      <c r="K5" s="32"/>
      <c r="L5" s="30"/>
      <c r="M5" s="32"/>
      <c r="N5" s="32"/>
      <c r="O5" s="32"/>
      <c r="P5" s="30"/>
      <c r="Q5" s="32"/>
      <c r="R5" s="32"/>
      <c r="S5" s="32"/>
    </row>
    <row r="6" spans="1:21" s="31" customFormat="1" x14ac:dyDescent="0.5">
      <c r="A6" s="32"/>
      <c r="B6" s="32"/>
      <c r="C6" s="32"/>
      <c r="D6" s="30"/>
      <c r="E6" s="32"/>
      <c r="F6" s="32"/>
      <c r="G6" s="32"/>
      <c r="H6" s="30"/>
      <c r="I6" s="32"/>
      <c r="J6" s="32"/>
      <c r="K6" s="32"/>
      <c r="L6" s="30"/>
      <c r="M6" s="32"/>
      <c r="N6" s="32"/>
      <c r="O6" s="32"/>
      <c r="P6" s="30"/>
      <c r="Q6" s="32"/>
      <c r="R6" s="32"/>
      <c r="S6" s="32"/>
    </row>
    <row r="7" spans="1:21" x14ac:dyDescent="0.5">
      <c r="A7" s="6"/>
      <c r="B7" s="6"/>
      <c r="C7" s="6"/>
      <c r="E7" s="6"/>
      <c r="F7" s="6"/>
      <c r="G7" s="6"/>
      <c r="I7" s="6"/>
      <c r="J7" s="6"/>
      <c r="K7" s="6"/>
      <c r="M7" s="6"/>
      <c r="N7" s="6"/>
      <c r="O7" s="6"/>
      <c r="Q7" s="6"/>
      <c r="R7" s="6"/>
      <c r="S7" s="6"/>
    </row>
    <row r="8" spans="1:21" x14ac:dyDescent="0.5">
      <c r="A8" s="33">
        <f>SUMIF(Raw_Data!C:C,"Facebook Ads",Raw_Data!H:H)</f>
        <v>80512</v>
      </c>
      <c r="B8" s="33"/>
      <c r="C8" s="33"/>
      <c r="E8" s="33">
        <f>SUM(Raw_Data!M:M)</f>
        <v>1057643</v>
      </c>
      <c r="F8" s="33"/>
      <c r="G8" s="33"/>
      <c r="I8" s="33">
        <f>SUM(Raw_Data!M:M)/SUM(Raw_Data!H:H)</f>
        <v>7.6765401811636282</v>
      </c>
      <c r="J8" s="33"/>
      <c r="K8" s="33"/>
      <c r="M8" s="33">
        <f>SUM(Raw_Data!G:G)</f>
        <v>9379</v>
      </c>
      <c r="N8" s="33"/>
      <c r="O8" s="33"/>
      <c r="S8" s="33">
        <f>AVERAGE(Raw_Data!I:I)</f>
        <v>5.0201671442485149E-2</v>
      </c>
      <c r="T8" s="33"/>
      <c r="U8" s="33"/>
    </row>
    <row r="9" spans="1:21" x14ac:dyDescent="0.5">
      <c r="A9" s="5"/>
      <c r="B9" s="5"/>
      <c r="C9" s="5"/>
      <c r="E9" s="5"/>
      <c r="F9" s="5"/>
      <c r="G9" s="5"/>
      <c r="I9" s="5"/>
      <c r="J9" s="5"/>
      <c r="K9" s="5"/>
      <c r="M9" s="5"/>
      <c r="N9" s="5"/>
      <c r="O9" s="5"/>
      <c r="Q9" s="5"/>
      <c r="R9" s="5"/>
      <c r="S9" s="5"/>
    </row>
    <row r="10" spans="1:21" x14ac:dyDescent="0.5">
      <c r="A10" s="7"/>
      <c r="B10" s="7"/>
      <c r="C10" s="7"/>
      <c r="D10" s="8"/>
      <c r="E10" s="7"/>
      <c r="F10" s="7"/>
      <c r="G10" s="7"/>
      <c r="H10" s="8"/>
      <c r="I10" s="7"/>
      <c r="J10" s="7"/>
      <c r="K10" s="7"/>
      <c r="L10" s="8"/>
      <c r="M10" s="5"/>
      <c r="N10" s="5"/>
      <c r="O10" s="5"/>
      <c r="Q10" s="5"/>
      <c r="R10" s="5"/>
      <c r="S10" s="5"/>
    </row>
    <row r="11" spans="1:21" x14ac:dyDescent="0.5">
      <c r="A11" s="9" t="s">
        <v>144</v>
      </c>
      <c r="B11" s="8" t="s">
        <v>147</v>
      </c>
      <c r="C11" s="7"/>
      <c r="D11" s="9" t="s">
        <v>144</v>
      </c>
      <c r="E11" s="8" t="s">
        <v>148</v>
      </c>
      <c r="F11" s="8" t="s">
        <v>146</v>
      </c>
      <c r="G11" s="7"/>
      <c r="H11" s="23" t="s">
        <v>1</v>
      </c>
      <c r="I11" s="24" t="s">
        <v>5</v>
      </c>
      <c r="J11" s="24" t="s">
        <v>10</v>
      </c>
      <c r="K11" s="24" t="s">
        <v>9</v>
      </c>
      <c r="L11" s="24" t="s">
        <v>6</v>
      </c>
      <c r="M11" s="5"/>
      <c r="N11" s="5"/>
      <c r="O11" s="5"/>
      <c r="Q11" s="5"/>
      <c r="R11" s="5"/>
      <c r="S11" s="5"/>
    </row>
    <row r="12" spans="1:21" x14ac:dyDescent="0.5">
      <c r="A12" s="10" t="s">
        <v>150</v>
      </c>
      <c r="B12" s="8">
        <v>78525</v>
      </c>
      <c r="C12" s="8"/>
      <c r="D12" s="10" t="s">
        <v>135</v>
      </c>
      <c r="E12" s="11">
        <v>6.6885578876100205</v>
      </c>
      <c r="F12" s="8">
        <v>1477</v>
      </c>
      <c r="G12" s="8"/>
      <c r="H12" s="25" t="s">
        <v>135</v>
      </c>
      <c r="I12" s="26">
        <f>SUMIFS(Raw_Data!H:H,Raw_Data!C:C,H12)</f>
        <v>1477</v>
      </c>
      <c r="J12" s="27">
        <f>SUMIFS(Raw_Data!M:M,Raw_Data!C:C, H12)</f>
        <v>9879</v>
      </c>
      <c r="K12" s="8">
        <f>IF(I12=0,0,J12/I12)</f>
        <v>6.6885578876100205</v>
      </c>
      <c r="L12" s="8">
        <f>AVERAGEIFS(Raw_Data!I:I,Raw_Data!C:C,H12)</f>
        <v>8.4701942727698036E-3</v>
      </c>
    </row>
    <row r="13" spans="1:21" x14ac:dyDescent="0.5">
      <c r="A13" s="10" t="s">
        <v>151</v>
      </c>
      <c r="B13" s="8">
        <v>88366</v>
      </c>
      <c r="C13" s="8"/>
      <c r="D13" s="10" t="s">
        <v>58</v>
      </c>
      <c r="E13" s="11">
        <v>997.98326229228223</v>
      </c>
      <c r="F13" s="8">
        <v>80512</v>
      </c>
      <c r="G13" s="8"/>
      <c r="H13" s="25" t="s">
        <v>58</v>
      </c>
      <c r="I13" s="26">
        <f>SUMIFS(Raw_Data!H:H,Raw_Data!C:C,H13)</f>
        <v>80512</v>
      </c>
      <c r="J13" s="27">
        <f>SUMIFS(Raw_Data!M:M,Raw_Data!C:C, H13)</f>
        <v>585209</v>
      </c>
      <c r="K13" s="8">
        <f t="shared" ref="K13:K16" si="0">IF(I13=0,0,J13/I13)</f>
        <v>7.2685935015898249</v>
      </c>
      <c r="L13" s="8">
        <f>AVERAGEIFS(Raw_Data!I:I,Raw_Data!C:C,H13)</f>
        <v>5.3457970140266847E-2</v>
      </c>
    </row>
    <row r="14" spans="1:21" x14ac:dyDescent="0.5">
      <c r="A14" s="10" t="s">
        <v>152</v>
      </c>
      <c r="B14" s="8">
        <v>88318</v>
      </c>
      <c r="C14" s="8"/>
      <c r="D14" s="10" t="s">
        <v>14</v>
      </c>
      <c r="E14" s="11">
        <v>106.05387616142256</v>
      </c>
      <c r="F14" s="8">
        <v>7395</v>
      </c>
      <c r="G14" s="8"/>
      <c r="H14" s="25" t="s">
        <v>14</v>
      </c>
      <c r="I14" s="26">
        <f>SUMIFS(Raw_Data!H:H,Raw_Data!C:C,H14)</f>
        <v>7395</v>
      </c>
      <c r="J14" s="27">
        <f>SUMIFS(Raw_Data!M:M,Raw_Data!C:C, H14)</f>
        <v>72624</v>
      </c>
      <c r="K14" s="8">
        <f t="shared" si="0"/>
        <v>9.8206896551724139</v>
      </c>
      <c r="L14" s="8">
        <f>AVERAGEIFS(Raw_Data!I:I,Raw_Data!C:C,H14)</f>
        <v>4.3023800030378971E-2</v>
      </c>
    </row>
    <row r="15" spans="1:21" x14ac:dyDescent="0.5">
      <c r="A15" s="10" t="s">
        <v>153</v>
      </c>
      <c r="B15" s="8">
        <v>107521</v>
      </c>
      <c r="C15" s="8"/>
      <c r="D15" s="10" t="s">
        <v>55</v>
      </c>
      <c r="E15" s="11">
        <v>492.18266593870425</v>
      </c>
      <c r="F15" s="8">
        <v>35602</v>
      </c>
      <c r="G15" s="8"/>
      <c r="H15" s="25" t="s">
        <v>55</v>
      </c>
      <c r="I15" s="26">
        <f>SUMIFS(Raw_Data!H:H,Raw_Data!C:C,H15)</f>
        <v>35602</v>
      </c>
      <c r="J15" s="27">
        <f>SUMIFS(Raw_Data!M:M,Raw_Data!C:C, H15)</f>
        <v>297528</v>
      </c>
      <c r="K15" s="8">
        <f t="shared" si="0"/>
        <v>8.3570585922139209</v>
      </c>
      <c r="L15" s="8">
        <f>AVERAGEIFS(Raw_Data!I:I,Raw_Data!C:C,H15)</f>
        <v>4.6334904769235963E-2</v>
      </c>
    </row>
    <row r="16" spans="1:21" x14ac:dyDescent="0.5">
      <c r="A16" s="10" t="s">
        <v>154</v>
      </c>
      <c r="B16" s="8">
        <v>33600</v>
      </c>
      <c r="C16" s="8"/>
      <c r="D16" s="10" t="s">
        <v>52</v>
      </c>
      <c r="E16" s="11">
        <v>117.16322065527899</v>
      </c>
      <c r="F16" s="8">
        <v>12790</v>
      </c>
      <c r="G16" s="8"/>
      <c r="H16" s="25" t="s">
        <v>52</v>
      </c>
      <c r="I16" s="26">
        <f>SUMIFS(Raw_Data!H:H,Raw_Data!C:C,H16)</f>
        <v>12790</v>
      </c>
      <c r="J16" s="27">
        <f>SUMIFS(Raw_Data!M:M,Raw_Data!C:C, H16)</f>
        <v>92403</v>
      </c>
      <c r="K16" s="8">
        <f t="shared" si="0"/>
        <v>7.2246286161063331</v>
      </c>
      <c r="L16" s="8">
        <f>AVERAGEIFS(Raw_Data!I:I,Raw_Data!C:C,H16)</f>
        <v>4.8413444488272318E-2</v>
      </c>
    </row>
    <row r="17" spans="1:12" x14ac:dyDescent="0.5">
      <c r="A17" s="10" t="s">
        <v>155</v>
      </c>
      <c r="B17" s="8">
        <v>106116</v>
      </c>
      <c r="C17" s="8"/>
      <c r="D17" s="10" t="s">
        <v>145</v>
      </c>
      <c r="E17" s="11">
        <v>1720.0715829352982</v>
      </c>
      <c r="F17" s="8">
        <v>137776</v>
      </c>
      <c r="G17" s="8"/>
      <c r="H17" s="8"/>
      <c r="I17" s="8"/>
      <c r="J17" s="8"/>
      <c r="K17" s="8"/>
      <c r="L17" s="8"/>
    </row>
    <row r="18" spans="1:12" x14ac:dyDescent="0.5">
      <c r="A18" s="10" t="s">
        <v>156</v>
      </c>
      <c r="B18" s="8">
        <v>109114</v>
      </c>
      <c r="C18" s="8"/>
      <c r="D18" s="8"/>
      <c r="E18" s="8"/>
      <c r="F18" s="8"/>
      <c r="G18" s="8"/>
      <c r="H18" s="8"/>
      <c r="I18" s="8"/>
      <c r="J18" s="8"/>
      <c r="K18" s="8"/>
      <c r="L18" s="8"/>
    </row>
    <row r="19" spans="1:12" x14ac:dyDescent="0.5">
      <c r="A19" s="10" t="s">
        <v>157</v>
      </c>
      <c r="B19" s="8">
        <v>101197</v>
      </c>
      <c r="C19" s="8"/>
      <c r="D19" s="8"/>
      <c r="E19" s="8"/>
      <c r="F19" s="8"/>
      <c r="G19" s="8"/>
      <c r="H19" s="8"/>
      <c r="I19" s="8"/>
      <c r="J19" s="8"/>
      <c r="K19" s="8"/>
      <c r="L19" s="8"/>
    </row>
    <row r="20" spans="1:12" x14ac:dyDescent="0.5">
      <c r="A20" s="10" t="s">
        <v>158</v>
      </c>
      <c r="B20" s="8">
        <v>67470</v>
      </c>
      <c r="C20" s="8"/>
      <c r="D20" s="8"/>
      <c r="E20" s="8"/>
      <c r="F20" s="8"/>
      <c r="G20" s="8"/>
      <c r="H20" s="8"/>
      <c r="I20" s="8"/>
      <c r="J20" s="8"/>
      <c r="K20" s="8"/>
      <c r="L20" s="8"/>
    </row>
    <row r="21" spans="1:12" x14ac:dyDescent="0.5">
      <c r="A21" s="10" t="s">
        <v>159</v>
      </c>
      <c r="B21" s="8">
        <v>110079</v>
      </c>
      <c r="C21" s="8"/>
      <c r="D21" s="8"/>
      <c r="E21" s="8"/>
      <c r="F21" s="8"/>
      <c r="G21" s="8"/>
      <c r="H21" s="8"/>
      <c r="I21" s="8"/>
      <c r="J21" s="8"/>
      <c r="K21" s="8"/>
      <c r="L21" s="8"/>
    </row>
    <row r="22" spans="1:12" x14ac:dyDescent="0.5">
      <c r="A22" s="10" t="s">
        <v>160</v>
      </c>
      <c r="B22" s="8">
        <v>80205</v>
      </c>
      <c r="C22" s="8"/>
      <c r="D22" s="8"/>
      <c r="E22" s="8"/>
      <c r="F22" s="8"/>
      <c r="G22" s="8"/>
      <c r="H22" s="8"/>
      <c r="I22" s="8"/>
      <c r="J22" s="8"/>
      <c r="K22" s="8"/>
      <c r="L22" s="8"/>
    </row>
    <row r="23" spans="1:12" x14ac:dyDescent="0.5">
      <c r="A23" s="28" t="s">
        <v>161</v>
      </c>
      <c r="B23" s="29">
        <v>87132</v>
      </c>
      <c r="C23" s="8"/>
      <c r="D23" s="8"/>
      <c r="E23" s="8"/>
      <c r="F23" s="8"/>
      <c r="G23" s="8"/>
      <c r="H23" s="8"/>
      <c r="I23" s="8"/>
      <c r="J23" s="8"/>
      <c r="K23" s="8"/>
      <c r="L23" s="8"/>
    </row>
    <row r="24" spans="1:12" x14ac:dyDescent="0.5">
      <c r="A24" s="10" t="s">
        <v>145</v>
      </c>
      <c r="B24" s="8">
        <v>1057643</v>
      </c>
      <c r="C24" s="8"/>
      <c r="D24" s="8"/>
      <c r="E24" s="8"/>
      <c r="F24" s="8"/>
      <c r="G24" s="8"/>
      <c r="H24" s="8"/>
      <c r="I24" s="8"/>
      <c r="J24" s="8"/>
      <c r="K24" s="8"/>
      <c r="L24" s="8"/>
    </row>
    <row r="25" spans="1:12" x14ac:dyDescent="0.5">
      <c r="A25" s="8"/>
      <c r="B25" s="8"/>
      <c r="C25" s="8"/>
      <c r="D25" s="8"/>
      <c r="E25" s="8"/>
      <c r="F25" s="8"/>
      <c r="G25" s="8"/>
      <c r="H25" s="8"/>
      <c r="I25" s="8"/>
      <c r="J25" s="8"/>
      <c r="K25" s="8"/>
      <c r="L25" s="8"/>
    </row>
  </sheetData>
  <mergeCells count="11">
    <mergeCell ref="S8:U8"/>
    <mergeCell ref="A1:J2"/>
    <mergeCell ref="A8:C8"/>
    <mergeCell ref="E8:G8"/>
    <mergeCell ref="I8:K8"/>
    <mergeCell ref="M8:O8"/>
    <mergeCell ref="A4:C6"/>
    <mergeCell ref="E4:G6"/>
    <mergeCell ref="I4:K6"/>
    <mergeCell ref="M4:O6"/>
    <mergeCell ref="Q4:S6"/>
  </mergeCells>
  <conditionalFormatting sqref="K12:K16">
    <cfRule type="cellIs" dxfId="1" priority="2" operator="between">
      <formula>2</formula>
      <formula>3</formula>
    </cfRule>
    <cfRule type="cellIs" dxfId="0" priority="3" operator="greaterThan">
      <formula>3</formula>
    </cfRule>
  </conditionalFormatting>
  <conditionalFormatting sqref="L12:L16">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A26" xr:uid="{2C850905-297B-4114-9EB3-E97DD1F87EAF}">
      <formula1>"Last 30 Days,Last 90 Days,All Time"</formula1>
    </dataValidation>
  </dataValidations>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9BFF8-11D2-4EF8-B3B8-8E2B04FE90D5}">
  <dimension ref="A1:O168"/>
  <sheetViews>
    <sheetView workbookViewId="0">
      <selection activeCell="E4" sqref="E4"/>
    </sheetView>
  </sheetViews>
  <sheetFormatPr defaultRowHeight="18" x14ac:dyDescent="0.5"/>
  <cols>
    <col min="1" max="1" width="11.21875" style="1" customWidth="1"/>
    <col min="2" max="2" width="14.88671875" customWidth="1"/>
    <col min="3" max="3" width="13.77734375" customWidth="1"/>
    <col min="4" max="4" width="16.33203125" customWidth="1"/>
    <col min="5" max="5" width="13.109375" customWidth="1"/>
    <col min="6" max="6" width="6.88671875" customWidth="1"/>
    <col min="7" max="7" width="13.44140625" customWidth="1"/>
    <col min="8" max="8" width="7.21875" customWidth="1"/>
    <col min="9" max="9" width="5" customWidth="1"/>
    <col min="10" max="10" width="7.6640625" customWidth="1"/>
    <col min="11" max="11" width="9.88671875" customWidth="1"/>
    <col min="12" max="12" width="6.77734375" customWidth="1"/>
    <col min="13" max="13" width="9" customWidth="1"/>
    <col min="14" max="14" width="10.6640625" customWidth="1"/>
  </cols>
  <sheetData>
    <row r="1" spans="1:15" ht="27.6" x14ac:dyDescent="0.5">
      <c r="A1" s="12" t="s">
        <v>0</v>
      </c>
      <c r="B1" s="13" t="s">
        <v>11</v>
      </c>
      <c r="C1" s="13" t="s">
        <v>1</v>
      </c>
      <c r="D1" s="13" t="s">
        <v>12</v>
      </c>
      <c r="E1" s="13" t="s">
        <v>2</v>
      </c>
      <c r="F1" s="13" t="s">
        <v>3</v>
      </c>
      <c r="G1" s="13" t="s">
        <v>4</v>
      </c>
      <c r="H1" s="13" t="s">
        <v>5</v>
      </c>
      <c r="I1" s="13" t="s">
        <v>6</v>
      </c>
      <c r="J1" s="13" t="s">
        <v>7</v>
      </c>
      <c r="K1" s="13" t="s">
        <v>8</v>
      </c>
      <c r="L1" s="13" t="s">
        <v>9</v>
      </c>
      <c r="M1" s="14" t="s">
        <v>10</v>
      </c>
      <c r="N1" s="13" t="s">
        <v>149</v>
      </c>
      <c r="O1" s="15"/>
    </row>
    <row r="2" spans="1:15" ht="27.6" x14ac:dyDescent="0.5">
      <c r="A2" s="16">
        <v>45292</v>
      </c>
      <c r="B2" s="17" t="s">
        <v>13</v>
      </c>
      <c r="C2" s="17" t="s">
        <v>14</v>
      </c>
      <c r="D2" s="17" t="s">
        <v>15</v>
      </c>
      <c r="E2" s="17">
        <v>15000</v>
      </c>
      <c r="F2" s="17">
        <v>850</v>
      </c>
      <c r="G2" s="17">
        <v>45</v>
      </c>
      <c r="H2" s="17">
        <v>650</v>
      </c>
      <c r="I2" s="18">
        <f>F2/E2</f>
        <v>5.6666666666666664E-2</v>
      </c>
      <c r="J2" s="19">
        <f>H2/F2</f>
        <v>0.76470588235294112</v>
      </c>
      <c r="K2" s="20">
        <f>H2/G2</f>
        <v>14.444444444444445</v>
      </c>
      <c r="L2" s="21">
        <f>M2/H2</f>
        <v>8.3769230769230774</v>
      </c>
      <c r="M2" s="7">
        <v>5445</v>
      </c>
      <c r="N2" s="7" t="str">
        <f>TEXT(A2,"mmmm")</f>
        <v>January</v>
      </c>
      <c r="O2" s="8"/>
    </row>
    <row r="3" spans="1:15" ht="27.6" x14ac:dyDescent="0.5">
      <c r="A3" s="16">
        <v>45292</v>
      </c>
      <c r="B3" s="17" t="s">
        <v>16</v>
      </c>
      <c r="C3" s="17" t="s">
        <v>58</v>
      </c>
      <c r="D3" s="17" t="s">
        <v>17</v>
      </c>
      <c r="E3" s="17">
        <v>25000</v>
      </c>
      <c r="F3" s="17">
        <v>1200</v>
      </c>
      <c r="G3" s="17">
        <v>38</v>
      </c>
      <c r="H3" s="17">
        <v>420</v>
      </c>
      <c r="I3" s="18">
        <f t="shared" ref="I3:I66" si="0">F3/E3</f>
        <v>4.8000000000000001E-2</v>
      </c>
      <c r="J3" s="19">
        <f t="shared" ref="J3:J66" si="1">H3/F3</f>
        <v>0.35</v>
      </c>
      <c r="K3" s="20">
        <f t="shared" ref="K3:K66" si="2">H3/G3</f>
        <v>11.052631578947368</v>
      </c>
      <c r="L3" s="21">
        <f t="shared" ref="L3:L66" si="3">M3/H3</f>
        <v>8.4142857142857146</v>
      </c>
      <c r="M3" s="7">
        <v>3534</v>
      </c>
      <c r="N3" s="7" t="str">
        <f t="shared" ref="N3:N66" si="4">TEXT(A3,"mmmm")</f>
        <v>January</v>
      </c>
      <c r="O3" s="8"/>
    </row>
    <row r="4" spans="1:15" ht="41.4" x14ac:dyDescent="0.5">
      <c r="A4" s="16">
        <v>45323</v>
      </c>
      <c r="B4" s="17" t="s">
        <v>18</v>
      </c>
      <c r="C4" s="17" t="s">
        <v>14</v>
      </c>
      <c r="D4" s="17" t="s">
        <v>19</v>
      </c>
      <c r="E4" s="17">
        <v>35000</v>
      </c>
      <c r="F4" s="17">
        <v>780</v>
      </c>
      <c r="G4" s="17">
        <v>22</v>
      </c>
      <c r="H4" s="17">
        <v>380</v>
      </c>
      <c r="I4" s="18">
        <f t="shared" si="0"/>
        <v>2.2285714285714287E-2</v>
      </c>
      <c r="J4" s="19">
        <f t="shared" si="1"/>
        <v>0.48717948717948717</v>
      </c>
      <c r="K4" s="20">
        <f t="shared" si="2"/>
        <v>17.272727272727273</v>
      </c>
      <c r="L4" s="21">
        <f t="shared" si="3"/>
        <v>5.5578947368421057</v>
      </c>
      <c r="M4" s="7">
        <v>2112</v>
      </c>
      <c r="N4" s="7" t="str">
        <f t="shared" si="4"/>
        <v>February</v>
      </c>
      <c r="O4" s="8"/>
    </row>
    <row r="5" spans="1:15" ht="27.6" x14ac:dyDescent="0.5">
      <c r="A5" s="16">
        <v>45323</v>
      </c>
      <c r="B5" s="17" t="s">
        <v>20</v>
      </c>
      <c r="C5" s="17" t="s">
        <v>58</v>
      </c>
      <c r="D5" s="17" t="s">
        <v>19</v>
      </c>
      <c r="E5" s="17">
        <v>22000</v>
      </c>
      <c r="F5" s="17">
        <v>880</v>
      </c>
      <c r="G5" s="17">
        <v>41</v>
      </c>
      <c r="H5" s="17">
        <v>275</v>
      </c>
      <c r="I5" s="18">
        <f t="shared" si="0"/>
        <v>0.04</v>
      </c>
      <c r="J5" s="19">
        <f t="shared" si="1"/>
        <v>0.3125</v>
      </c>
      <c r="K5" s="20">
        <f t="shared" si="2"/>
        <v>6.7073170731707314</v>
      </c>
      <c r="L5" s="21">
        <f t="shared" si="3"/>
        <v>15.952727272727273</v>
      </c>
      <c r="M5" s="7">
        <v>4387</v>
      </c>
      <c r="N5" s="7" t="str">
        <f t="shared" si="4"/>
        <v>February</v>
      </c>
      <c r="O5" s="8"/>
    </row>
    <row r="6" spans="1:15" ht="27.6" x14ac:dyDescent="0.5">
      <c r="A6" s="16">
        <v>45352</v>
      </c>
      <c r="B6" s="17" t="s">
        <v>21</v>
      </c>
      <c r="C6" s="17" t="s">
        <v>14</v>
      </c>
      <c r="D6" s="17" t="s">
        <v>22</v>
      </c>
      <c r="E6" s="17">
        <v>28000</v>
      </c>
      <c r="F6" s="17">
        <v>1250</v>
      </c>
      <c r="G6" s="17">
        <v>65</v>
      </c>
      <c r="H6" s="17">
        <v>720</v>
      </c>
      <c r="I6" s="18">
        <f t="shared" si="0"/>
        <v>4.4642857142857144E-2</v>
      </c>
      <c r="J6" s="19">
        <f t="shared" si="1"/>
        <v>0.57599999999999996</v>
      </c>
      <c r="K6" s="20">
        <f t="shared" si="2"/>
        <v>11.076923076923077</v>
      </c>
      <c r="L6" s="21">
        <f t="shared" si="3"/>
        <v>10.111111111111111</v>
      </c>
      <c r="M6" s="7">
        <v>7280</v>
      </c>
      <c r="N6" s="7" t="str">
        <f t="shared" si="4"/>
        <v>March</v>
      </c>
      <c r="O6" s="8"/>
    </row>
    <row r="7" spans="1:15" ht="27.6" x14ac:dyDescent="0.5">
      <c r="A7" s="16">
        <v>45352</v>
      </c>
      <c r="B7" s="17" t="s">
        <v>23</v>
      </c>
      <c r="C7" s="17" t="s">
        <v>58</v>
      </c>
      <c r="D7" s="17" t="s">
        <v>24</v>
      </c>
      <c r="E7" s="17">
        <v>31000</v>
      </c>
      <c r="F7" s="17">
        <v>1550</v>
      </c>
      <c r="G7" s="17">
        <v>28</v>
      </c>
      <c r="H7" s="17">
        <v>285</v>
      </c>
      <c r="I7" s="18">
        <f t="shared" si="0"/>
        <v>0.05</v>
      </c>
      <c r="J7" s="19">
        <f t="shared" si="1"/>
        <v>0.18387096774193548</v>
      </c>
      <c r="K7" s="20">
        <f t="shared" si="2"/>
        <v>10.178571428571429</v>
      </c>
      <c r="L7" s="21">
        <f t="shared" si="3"/>
        <v>14.638596491228069</v>
      </c>
      <c r="M7" s="7">
        <v>4172</v>
      </c>
      <c r="N7" s="7" t="str">
        <f t="shared" si="4"/>
        <v>March</v>
      </c>
      <c r="O7" s="8"/>
    </row>
    <row r="8" spans="1:15" ht="27.6" x14ac:dyDescent="0.5">
      <c r="A8" s="16">
        <v>45383</v>
      </c>
      <c r="B8" s="17" t="s">
        <v>25</v>
      </c>
      <c r="C8" s="17" t="s">
        <v>14</v>
      </c>
      <c r="D8" s="17" t="s">
        <v>26</v>
      </c>
      <c r="E8" s="17">
        <v>42000</v>
      </c>
      <c r="F8" s="17">
        <v>1680</v>
      </c>
      <c r="G8" s="17">
        <v>85</v>
      </c>
      <c r="H8" s="17">
        <v>850</v>
      </c>
      <c r="I8" s="18">
        <f t="shared" si="0"/>
        <v>0.04</v>
      </c>
      <c r="J8" s="19">
        <f t="shared" si="1"/>
        <v>0.50595238095238093</v>
      </c>
      <c r="K8" s="20">
        <f t="shared" si="2"/>
        <v>10</v>
      </c>
      <c r="L8" s="21">
        <f t="shared" si="3"/>
        <v>10.5</v>
      </c>
      <c r="M8" s="7">
        <v>8925</v>
      </c>
      <c r="N8" s="7" t="str">
        <f t="shared" si="4"/>
        <v>April</v>
      </c>
      <c r="O8" s="8"/>
    </row>
    <row r="9" spans="1:15" ht="27.6" x14ac:dyDescent="0.5">
      <c r="A9" s="16">
        <v>45383</v>
      </c>
      <c r="B9" s="17" t="s">
        <v>27</v>
      </c>
      <c r="C9" s="17" t="s">
        <v>58</v>
      </c>
      <c r="D9" s="17" t="s">
        <v>17</v>
      </c>
      <c r="E9" s="17">
        <v>38000</v>
      </c>
      <c r="F9" s="17">
        <v>1520</v>
      </c>
      <c r="G9" s="17">
        <v>55</v>
      </c>
      <c r="H9" s="17">
        <v>465</v>
      </c>
      <c r="I9" s="18">
        <f t="shared" si="0"/>
        <v>0.04</v>
      </c>
      <c r="J9" s="19">
        <f t="shared" si="1"/>
        <v>0.30592105263157893</v>
      </c>
      <c r="K9" s="20">
        <f t="shared" si="2"/>
        <v>8.454545454545455</v>
      </c>
      <c r="L9" s="21">
        <f t="shared" si="3"/>
        <v>13.483870967741936</v>
      </c>
      <c r="M9" s="7">
        <v>6270</v>
      </c>
      <c r="N9" s="7" t="str">
        <f t="shared" si="4"/>
        <v>April</v>
      </c>
      <c r="O9" s="8"/>
    </row>
    <row r="10" spans="1:15" ht="27.6" x14ac:dyDescent="0.5">
      <c r="A10" s="16">
        <v>45413</v>
      </c>
      <c r="B10" s="17" t="s">
        <v>28</v>
      </c>
      <c r="C10" s="17" t="s">
        <v>14</v>
      </c>
      <c r="D10" s="17" t="s">
        <v>15</v>
      </c>
      <c r="E10" s="17">
        <v>18000</v>
      </c>
      <c r="F10" s="17">
        <v>1106</v>
      </c>
      <c r="G10" s="17">
        <v>62</v>
      </c>
      <c r="H10" s="17">
        <v>620</v>
      </c>
      <c r="I10" s="18">
        <f t="shared" si="0"/>
        <v>6.1444444444444447E-2</v>
      </c>
      <c r="J10" s="19">
        <f t="shared" si="1"/>
        <v>0.56057866184448468</v>
      </c>
      <c r="K10" s="20">
        <f t="shared" si="2"/>
        <v>10</v>
      </c>
      <c r="L10" s="21">
        <f t="shared" si="3"/>
        <v>9.1</v>
      </c>
      <c r="M10" s="7">
        <v>5642</v>
      </c>
      <c r="N10" s="7" t="str">
        <f t="shared" si="4"/>
        <v>May</v>
      </c>
      <c r="O10" s="8"/>
    </row>
    <row r="11" spans="1:15" ht="27.6" x14ac:dyDescent="0.5">
      <c r="A11" s="16">
        <v>45413</v>
      </c>
      <c r="B11" s="17" t="s">
        <v>29</v>
      </c>
      <c r="C11" s="17" t="s">
        <v>58</v>
      </c>
      <c r="D11" s="17" t="s">
        <v>30</v>
      </c>
      <c r="E11" s="17">
        <v>19500</v>
      </c>
      <c r="F11" s="17">
        <v>975</v>
      </c>
      <c r="G11" s="17">
        <v>32</v>
      </c>
      <c r="H11" s="17">
        <v>255</v>
      </c>
      <c r="I11" s="18">
        <f t="shared" si="0"/>
        <v>0.05</v>
      </c>
      <c r="J11" s="19">
        <f t="shared" si="1"/>
        <v>0.26153846153846155</v>
      </c>
      <c r="K11" s="20">
        <f t="shared" si="2"/>
        <v>7.96875</v>
      </c>
      <c r="L11" s="21">
        <f t="shared" si="3"/>
        <v>17.066666666666666</v>
      </c>
      <c r="M11" s="7">
        <v>4352</v>
      </c>
      <c r="N11" s="7" t="str">
        <f t="shared" si="4"/>
        <v>May</v>
      </c>
      <c r="O11" s="8"/>
    </row>
    <row r="12" spans="1:15" ht="27.6" x14ac:dyDescent="0.5">
      <c r="A12" s="16">
        <v>45444</v>
      </c>
      <c r="B12" s="17" t="s">
        <v>31</v>
      </c>
      <c r="C12" s="17" t="s">
        <v>14</v>
      </c>
      <c r="D12" s="17" t="s">
        <v>15</v>
      </c>
      <c r="E12" s="17">
        <v>28500</v>
      </c>
      <c r="F12" s="17">
        <v>1140</v>
      </c>
      <c r="G12" s="17">
        <v>48</v>
      </c>
      <c r="H12" s="17">
        <v>765</v>
      </c>
      <c r="I12" s="18">
        <f t="shared" si="0"/>
        <v>0.04</v>
      </c>
      <c r="J12" s="19">
        <f t="shared" si="1"/>
        <v>0.67105263157894735</v>
      </c>
      <c r="K12" s="20">
        <f t="shared" si="2"/>
        <v>15.9375</v>
      </c>
      <c r="L12" s="21">
        <f t="shared" si="3"/>
        <v>9.0980392156862742</v>
      </c>
      <c r="M12" s="7">
        <v>6960</v>
      </c>
      <c r="N12" s="7" t="str">
        <f t="shared" si="4"/>
        <v>June</v>
      </c>
      <c r="O12" s="8"/>
    </row>
    <row r="13" spans="1:15" ht="27.6" x14ac:dyDescent="0.5">
      <c r="A13" s="16">
        <v>45444</v>
      </c>
      <c r="B13" s="17" t="s">
        <v>32</v>
      </c>
      <c r="C13" s="17" t="s">
        <v>58</v>
      </c>
      <c r="D13" s="17" t="s">
        <v>33</v>
      </c>
      <c r="E13" s="17">
        <v>26500</v>
      </c>
      <c r="F13" s="17">
        <v>1325</v>
      </c>
      <c r="G13" s="17">
        <v>48</v>
      </c>
      <c r="H13" s="17">
        <v>485</v>
      </c>
      <c r="I13" s="18">
        <f t="shared" si="0"/>
        <v>0.05</v>
      </c>
      <c r="J13" s="19">
        <f t="shared" si="1"/>
        <v>0.36603773584905658</v>
      </c>
      <c r="K13" s="20">
        <f t="shared" si="2"/>
        <v>10.104166666666666</v>
      </c>
      <c r="L13" s="21">
        <f t="shared" si="3"/>
        <v>11.876288659793815</v>
      </c>
      <c r="M13" s="7">
        <v>5760</v>
      </c>
      <c r="N13" s="7" t="str">
        <f t="shared" si="4"/>
        <v>June</v>
      </c>
      <c r="O13" s="8"/>
    </row>
    <row r="14" spans="1:15" ht="27.6" x14ac:dyDescent="0.5">
      <c r="A14" s="16">
        <v>45474</v>
      </c>
      <c r="B14" s="17" t="s">
        <v>34</v>
      </c>
      <c r="C14" s="17" t="s">
        <v>14</v>
      </c>
      <c r="D14" s="17" t="s">
        <v>34</v>
      </c>
      <c r="E14" s="17">
        <v>45000</v>
      </c>
      <c r="F14" s="17">
        <v>1650</v>
      </c>
      <c r="G14" s="17">
        <v>88</v>
      </c>
      <c r="H14" s="17">
        <v>920</v>
      </c>
      <c r="I14" s="18">
        <f t="shared" si="0"/>
        <v>3.6666666666666667E-2</v>
      </c>
      <c r="J14" s="19">
        <f t="shared" si="1"/>
        <v>0.55757575757575761</v>
      </c>
      <c r="K14" s="20">
        <f t="shared" si="2"/>
        <v>10.454545454545455</v>
      </c>
      <c r="L14" s="21">
        <f t="shared" si="3"/>
        <v>8.8000000000000007</v>
      </c>
      <c r="M14" s="7">
        <v>8096</v>
      </c>
      <c r="N14" s="7" t="str">
        <f t="shared" si="4"/>
        <v>July</v>
      </c>
      <c r="O14" s="8"/>
    </row>
    <row r="15" spans="1:15" ht="27.6" x14ac:dyDescent="0.5">
      <c r="A15" s="16">
        <v>45474</v>
      </c>
      <c r="B15" s="17" t="s">
        <v>35</v>
      </c>
      <c r="C15" s="17" t="s">
        <v>58</v>
      </c>
      <c r="D15" s="17" t="s">
        <v>36</v>
      </c>
      <c r="E15" s="17">
        <v>29000</v>
      </c>
      <c r="F15" s="17">
        <v>1450</v>
      </c>
      <c r="G15" s="17">
        <v>52</v>
      </c>
      <c r="H15" s="17">
        <v>525</v>
      </c>
      <c r="I15" s="18">
        <f t="shared" si="0"/>
        <v>0.05</v>
      </c>
      <c r="J15" s="19">
        <f t="shared" si="1"/>
        <v>0.36206896551724138</v>
      </c>
      <c r="K15" s="20">
        <f t="shared" si="2"/>
        <v>10.096153846153847</v>
      </c>
      <c r="L15" s="21">
        <f t="shared" si="3"/>
        <v>8.5180952380952384</v>
      </c>
      <c r="M15" s="7">
        <v>4472</v>
      </c>
      <c r="N15" s="7" t="str">
        <f t="shared" si="4"/>
        <v>July</v>
      </c>
      <c r="O15" s="8"/>
    </row>
    <row r="16" spans="1:15" x14ac:dyDescent="0.5">
      <c r="A16" s="16">
        <v>45505</v>
      </c>
      <c r="B16" s="17" t="s">
        <v>37</v>
      </c>
      <c r="C16" s="17" t="s">
        <v>14</v>
      </c>
      <c r="D16" s="17" t="s">
        <v>38</v>
      </c>
      <c r="E16" s="17">
        <v>18200</v>
      </c>
      <c r="F16" s="17">
        <v>910</v>
      </c>
      <c r="G16" s="17">
        <v>42</v>
      </c>
      <c r="H16" s="17">
        <v>485</v>
      </c>
      <c r="I16" s="18">
        <f t="shared" si="0"/>
        <v>0.05</v>
      </c>
      <c r="J16" s="19">
        <f t="shared" si="1"/>
        <v>0.53296703296703296</v>
      </c>
      <c r="K16" s="20">
        <f t="shared" si="2"/>
        <v>11.547619047619047</v>
      </c>
      <c r="L16" s="21">
        <f t="shared" si="3"/>
        <v>9.6989690721649477</v>
      </c>
      <c r="M16" s="7">
        <v>4704</v>
      </c>
      <c r="N16" s="7" t="str">
        <f t="shared" si="4"/>
        <v>August</v>
      </c>
      <c r="O16" s="8"/>
    </row>
    <row r="17" spans="1:15" ht="27.6" x14ac:dyDescent="0.5">
      <c r="A17" s="16">
        <v>45505</v>
      </c>
      <c r="B17" s="17" t="s">
        <v>39</v>
      </c>
      <c r="C17" s="17" t="s">
        <v>58</v>
      </c>
      <c r="D17" s="17" t="s">
        <v>40</v>
      </c>
      <c r="E17" s="17">
        <v>33500</v>
      </c>
      <c r="F17" s="17">
        <v>1675</v>
      </c>
      <c r="G17" s="17">
        <v>58</v>
      </c>
      <c r="H17" s="17">
        <v>545</v>
      </c>
      <c r="I17" s="18">
        <f t="shared" si="0"/>
        <v>0.05</v>
      </c>
      <c r="J17" s="19">
        <f t="shared" si="1"/>
        <v>0.32537313432835818</v>
      </c>
      <c r="K17" s="20">
        <f t="shared" si="2"/>
        <v>9.3965517241379306</v>
      </c>
      <c r="L17" s="21">
        <f t="shared" si="3"/>
        <v>9.6844036697247713</v>
      </c>
      <c r="M17" s="7">
        <v>5278</v>
      </c>
      <c r="N17" s="7" t="str">
        <f t="shared" si="4"/>
        <v>August</v>
      </c>
      <c r="O17" s="8"/>
    </row>
    <row r="18" spans="1:15" x14ac:dyDescent="0.5">
      <c r="A18" s="16">
        <v>45536</v>
      </c>
      <c r="B18" s="17" t="s">
        <v>41</v>
      </c>
      <c r="C18" s="17" t="s">
        <v>14</v>
      </c>
      <c r="D18" s="17" t="s">
        <v>17</v>
      </c>
      <c r="E18" s="17">
        <v>42000</v>
      </c>
      <c r="F18" s="17">
        <v>1860</v>
      </c>
      <c r="G18" s="17">
        <v>78</v>
      </c>
      <c r="H18" s="17">
        <v>685</v>
      </c>
      <c r="I18" s="18">
        <f t="shared" si="0"/>
        <v>4.4285714285714282E-2</v>
      </c>
      <c r="J18" s="19">
        <f t="shared" si="1"/>
        <v>0.36827956989247312</v>
      </c>
      <c r="K18" s="20">
        <f t="shared" si="2"/>
        <v>8.7820512820512828</v>
      </c>
      <c r="L18" s="21">
        <f t="shared" si="3"/>
        <v>15.030656934306569</v>
      </c>
      <c r="M18" s="7">
        <v>10296</v>
      </c>
      <c r="N18" s="7" t="str">
        <f t="shared" si="4"/>
        <v>September</v>
      </c>
      <c r="O18" s="8"/>
    </row>
    <row r="19" spans="1:15" ht="27.6" x14ac:dyDescent="0.5">
      <c r="A19" s="16">
        <v>45536</v>
      </c>
      <c r="B19" s="17" t="s">
        <v>42</v>
      </c>
      <c r="C19" s="17" t="s">
        <v>58</v>
      </c>
      <c r="D19" s="17" t="s">
        <v>43</v>
      </c>
      <c r="E19" s="17">
        <v>28000</v>
      </c>
      <c r="F19" s="17">
        <v>1400</v>
      </c>
      <c r="G19" s="17">
        <v>25</v>
      </c>
      <c r="H19" s="17">
        <v>285</v>
      </c>
      <c r="I19" s="18">
        <f t="shared" si="0"/>
        <v>0.05</v>
      </c>
      <c r="J19" s="19">
        <f t="shared" si="1"/>
        <v>0.20357142857142857</v>
      </c>
      <c r="K19" s="20">
        <f t="shared" si="2"/>
        <v>11.4</v>
      </c>
      <c r="L19" s="21">
        <f t="shared" si="3"/>
        <v>8.5087719298245617</v>
      </c>
      <c r="M19" s="7">
        <v>2425</v>
      </c>
      <c r="N19" s="7" t="str">
        <f t="shared" si="4"/>
        <v>September</v>
      </c>
      <c r="O19" s="8"/>
    </row>
    <row r="20" spans="1:15" x14ac:dyDescent="0.5">
      <c r="A20" s="16">
        <v>45566</v>
      </c>
      <c r="B20" s="17" t="s">
        <v>44</v>
      </c>
      <c r="C20" s="17" t="s">
        <v>14</v>
      </c>
      <c r="D20" s="17" t="s">
        <v>45</v>
      </c>
      <c r="E20" s="17">
        <v>38000</v>
      </c>
      <c r="F20" s="17">
        <v>1440</v>
      </c>
      <c r="G20" s="17">
        <v>62</v>
      </c>
      <c r="H20" s="17">
        <v>625</v>
      </c>
      <c r="I20" s="18">
        <f t="shared" si="0"/>
        <v>3.7894736842105266E-2</v>
      </c>
      <c r="J20" s="19">
        <f t="shared" si="1"/>
        <v>0.43402777777777779</v>
      </c>
      <c r="K20" s="20">
        <f t="shared" si="2"/>
        <v>10.080645161290322</v>
      </c>
      <c r="L20" s="21">
        <f t="shared" si="3"/>
        <v>8.3328000000000007</v>
      </c>
      <c r="M20" s="7">
        <v>5208</v>
      </c>
      <c r="N20" s="7" t="str">
        <f t="shared" si="4"/>
        <v>October</v>
      </c>
      <c r="O20" s="8"/>
    </row>
    <row r="21" spans="1:15" x14ac:dyDescent="0.5">
      <c r="A21" s="16">
        <v>45566</v>
      </c>
      <c r="B21" s="17" t="s">
        <v>46</v>
      </c>
      <c r="C21" s="17" t="s">
        <v>58</v>
      </c>
      <c r="D21" s="17" t="s">
        <v>47</v>
      </c>
      <c r="E21" s="17">
        <v>22500</v>
      </c>
      <c r="F21" s="17">
        <v>1350</v>
      </c>
      <c r="G21" s="17">
        <v>42</v>
      </c>
      <c r="H21" s="17">
        <v>385</v>
      </c>
      <c r="I21" s="18">
        <f t="shared" si="0"/>
        <v>0.06</v>
      </c>
      <c r="J21" s="19">
        <f t="shared" si="1"/>
        <v>0.28518518518518521</v>
      </c>
      <c r="K21" s="20">
        <f t="shared" si="2"/>
        <v>9.1666666666666661</v>
      </c>
      <c r="L21" s="21">
        <f t="shared" si="3"/>
        <v>15.054545454545455</v>
      </c>
      <c r="M21" s="7">
        <v>5796</v>
      </c>
      <c r="N21" s="7" t="str">
        <f t="shared" si="4"/>
        <v>October</v>
      </c>
      <c r="O21" s="8"/>
    </row>
    <row r="22" spans="1:15" ht="27.6" x14ac:dyDescent="0.5">
      <c r="A22" s="16">
        <v>45597</v>
      </c>
      <c r="B22" s="17" t="s">
        <v>48</v>
      </c>
      <c r="C22" s="17" t="s">
        <v>14</v>
      </c>
      <c r="D22" s="17" t="s">
        <v>48</v>
      </c>
      <c r="E22" s="17">
        <v>32000</v>
      </c>
      <c r="F22" s="17">
        <v>1260</v>
      </c>
      <c r="G22" s="17">
        <v>68</v>
      </c>
      <c r="H22" s="17">
        <v>695</v>
      </c>
      <c r="I22" s="18">
        <f t="shared" si="0"/>
        <v>3.9375E-2</v>
      </c>
      <c r="J22" s="19">
        <f t="shared" si="1"/>
        <v>0.55158730158730163</v>
      </c>
      <c r="K22" s="20">
        <f t="shared" si="2"/>
        <v>10.220588235294118</v>
      </c>
      <c r="L22" s="21">
        <f t="shared" si="3"/>
        <v>11.447482014388489</v>
      </c>
      <c r="M22" s="7">
        <v>7956</v>
      </c>
      <c r="N22" s="7" t="str">
        <f t="shared" si="4"/>
        <v>November</v>
      </c>
      <c r="O22" s="8"/>
    </row>
    <row r="23" spans="1:15" ht="27.6" x14ac:dyDescent="0.5">
      <c r="A23" s="16">
        <v>45597</v>
      </c>
      <c r="B23" s="17" t="s">
        <v>49</v>
      </c>
      <c r="C23" s="17" t="s">
        <v>58</v>
      </c>
      <c r="D23" s="17" t="s">
        <v>50</v>
      </c>
      <c r="E23" s="17">
        <v>35000</v>
      </c>
      <c r="F23" s="17">
        <v>1750</v>
      </c>
      <c r="G23" s="17">
        <v>58</v>
      </c>
      <c r="H23" s="17">
        <v>565</v>
      </c>
      <c r="I23" s="18">
        <f t="shared" si="0"/>
        <v>0.05</v>
      </c>
      <c r="J23" s="19">
        <f t="shared" si="1"/>
        <v>0.32285714285714284</v>
      </c>
      <c r="K23" s="20">
        <f t="shared" si="2"/>
        <v>9.7413793103448274</v>
      </c>
      <c r="L23" s="21">
        <f t="shared" si="3"/>
        <v>11.702654867256637</v>
      </c>
      <c r="M23" s="7">
        <v>6612</v>
      </c>
      <c r="N23" s="7" t="str">
        <f t="shared" si="4"/>
        <v>November</v>
      </c>
      <c r="O23" s="8"/>
    </row>
    <row r="24" spans="1:15" x14ac:dyDescent="0.5">
      <c r="A24" s="22">
        <v>45292</v>
      </c>
      <c r="B24" s="7" t="s">
        <v>51</v>
      </c>
      <c r="C24" s="7" t="s">
        <v>52</v>
      </c>
      <c r="D24" s="7" t="s">
        <v>53</v>
      </c>
      <c r="E24" s="7">
        <v>6236</v>
      </c>
      <c r="F24" s="7">
        <v>733</v>
      </c>
      <c r="G24" s="7">
        <v>73</v>
      </c>
      <c r="H24" s="7">
        <v>788</v>
      </c>
      <c r="I24" s="18">
        <f t="shared" si="0"/>
        <v>0.11754329698524696</v>
      </c>
      <c r="J24" s="19">
        <f t="shared" si="1"/>
        <v>1.0750341064120055</v>
      </c>
      <c r="K24" s="20">
        <f t="shared" si="2"/>
        <v>10.794520547945206</v>
      </c>
      <c r="L24" s="21">
        <f t="shared" si="3"/>
        <v>9.4492385786802036</v>
      </c>
      <c r="M24" s="7">
        <v>7446</v>
      </c>
      <c r="N24" s="7" t="str">
        <f t="shared" si="4"/>
        <v>January</v>
      </c>
      <c r="O24" s="8"/>
    </row>
    <row r="25" spans="1:15" x14ac:dyDescent="0.5">
      <c r="A25" s="22">
        <v>45323</v>
      </c>
      <c r="B25" s="7" t="s">
        <v>54</v>
      </c>
      <c r="C25" s="7" t="s">
        <v>55</v>
      </c>
      <c r="D25" s="7" t="s">
        <v>56</v>
      </c>
      <c r="E25" s="7">
        <v>44735</v>
      </c>
      <c r="F25" s="7">
        <v>1105</v>
      </c>
      <c r="G25" s="7">
        <v>75</v>
      </c>
      <c r="H25" s="7">
        <v>958</v>
      </c>
      <c r="I25" s="18">
        <f t="shared" si="0"/>
        <v>2.4701017100704145E-2</v>
      </c>
      <c r="J25" s="19">
        <f t="shared" si="1"/>
        <v>0.86696832579185523</v>
      </c>
      <c r="K25" s="20">
        <f t="shared" si="2"/>
        <v>12.773333333333333</v>
      </c>
      <c r="L25" s="21">
        <f t="shared" si="3"/>
        <v>9.0031315240083511</v>
      </c>
      <c r="M25" s="7">
        <v>8625</v>
      </c>
      <c r="N25" s="7" t="str">
        <f t="shared" si="4"/>
        <v>February</v>
      </c>
      <c r="O25" s="8"/>
    </row>
    <row r="26" spans="1:15" x14ac:dyDescent="0.5">
      <c r="A26" s="22">
        <v>45352</v>
      </c>
      <c r="B26" s="7" t="s">
        <v>57</v>
      </c>
      <c r="C26" s="7" t="s">
        <v>58</v>
      </c>
      <c r="D26" s="7" t="s">
        <v>17</v>
      </c>
      <c r="E26" s="7">
        <v>45718</v>
      </c>
      <c r="F26" s="7">
        <v>553</v>
      </c>
      <c r="G26" s="7">
        <v>35</v>
      </c>
      <c r="H26" s="7">
        <v>683</v>
      </c>
      <c r="I26" s="18">
        <f t="shared" si="0"/>
        <v>1.2095892208758039E-2</v>
      </c>
      <c r="J26" s="19">
        <f t="shared" si="1"/>
        <v>1.2350813743218807</v>
      </c>
      <c r="K26" s="20">
        <f t="shared" si="2"/>
        <v>19.514285714285716</v>
      </c>
      <c r="L26" s="21">
        <f t="shared" si="3"/>
        <v>7.5329428989751097</v>
      </c>
      <c r="M26" s="7">
        <v>5145</v>
      </c>
      <c r="N26" s="7" t="str">
        <f t="shared" si="4"/>
        <v>March</v>
      </c>
      <c r="O26" s="8"/>
    </row>
    <row r="27" spans="1:15" x14ac:dyDescent="0.5">
      <c r="A27" s="22">
        <v>45383</v>
      </c>
      <c r="B27" s="7" t="s">
        <v>59</v>
      </c>
      <c r="C27" s="7" t="s">
        <v>58</v>
      </c>
      <c r="D27" s="7" t="s">
        <v>17</v>
      </c>
      <c r="E27" s="7">
        <v>9652</v>
      </c>
      <c r="F27" s="7">
        <v>1945</v>
      </c>
      <c r="G27" s="7">
        <v>46</v>
      </c>
      <c r="H27" s="7">
        <v>298</v>
      </c>
      <c r="I27" s="18">
        <f t="shared" si="0"/>
        <v>0.20151263986738499</v>
      </c>
      <c r="J27" s="19">
        <f t="shared" si="1"/>
        <v>0.1532133676092545</v>
      </c>
      <c r="K27" s="20">
        <f t="shared" si="2"/>
        <v>6.4782608695652177</v>
      </c>
      <c r="L27" s="21">
        <f t="shared" si="3"/>
        <v>19.912751677852349</v>
      </c>
      <c r="M27" s="7">
        <v>5934</v>
      </c>
      <c r="N27" s="7" t="str">
        <f t="shared" si="4"/>
        <v>April</v>
      </c>
      <c r="O27" s="8"/>
    </row>
    <row r="28" spans="1:15" x14ac:dyDescent="0.5">
      <c r="A28" s="22">
        <v>45413</v>
      </c>
      <c r="B28" s="7" t="s">
        <v>60</v>
      </c>
      <c r="C28" s="7" t="s">
        <v>58</v>
      </c>
      <c r="D28" s="7" t="s">
        <v>17</v>
      </c>
      <c r="E28" s="7">
        <v>33116</v>
      </c>
      <c r="F28" s="7">
        <v>1133</v>
      </c>
      <c r="G28" s="7">
        <v>63</v>
      </c>
      <c r="H28" s="7">
        <v>368</v>
      </c>
      <c r="I28" s="18">
        <f t="shared" si="0"/>
        <v>3.4213069211257399E-2</v>
      </c>
      <c r="J28" s="19">
        <f t="shared" si="1"/>
        <v>0.32480141218005298</v>
      </c>
      <c r="K28" s="20">
        <f t="shared" si="2"/>
        <v>5.8412698412698409</v>
      </c>
      <c r="L28" s="21">
        <f t="shared" si="3"/>
        <v>15.75</v>
      </c>
      <c r="M28" s="7">
        <v>5796</v>
      </c>
      <c r="N28" s="7" t="str">
        <f t="shared" si="4"/>
        <v>May</v>
      </c>
      <c r="O28" s="8"/>
    </row>
    <row r="29" spans="1:15" x14ac:dyDescent="0.5">
      <c r="A29" s="22">
        <v>45444</v>
      </c>
      <c r="B29" s="7" t="s">
        <v>61</v>
      </c>
      <c r="C29" s="7" t="s">
        <v>55</v>
      </c>
      <c r="D29" s="7" t="s">
        <v>56</v>
      </c>
      <c r="E29" s="7">
        <v>20897</v>
      </c>
      <c r="F29" s="7">
        <v>1004</v>
      </c>
      <c r="G29" s="7">
        <v>61</v>
      </c>
      <c r="H29" s="7">
        <v>493</v>
      </c>
      <c r="I29" s="18">
        <f t="shared" si="0"/>
        <v>4.804517394841365E-2</v>
      </c>
      <c r="J29" s="19">
        <f t="shared" si="1"/>
        <v>0.49103585657370519</v>
      </c>
      <c r="K29" s="20">
        <f t="shared" si="2"/>
        <v>8.0819672131147549</v>
      </c>
      <c r="L29" s="21">
        <f t="shared" si="3"/>
        <v>10.393509127789047</v>
      </c>
      <c r="M29" s="7">
        <v>5124</v>
      </c>
      <c r="N29" s="7" t="str">
        <f t="shared" si="4"/>
        <v>June</v>
      </c>
      <c r="O29" s="8"/>
    </row>
    <row r="30" spans="1:15" x14ac:dyDescent="0.5">
      <c r="A30" s="22">
        <v>45474</v>
      </c>
      <c r="B30" s="7" t="s">
        <v>62</v>
      </c>
      <c r="C30" s="7" t="s">
        <v>55</v>
      </c>
      <c r="D30" s="7" t="s">
        <v>56</v>
      </c>
      <c r="E30" s="7">
        <v>42582</v>
      </c>
      <c r="F30" s="7">
        <v>1122</v>
      </c>
      <c r="G30" s="7">
        <v>74</v>
      </c>
      <c r="H30" s="7">
        <v>245</v>
      </c>
      <c r="I30" s="18">
        <f t="shared" si="0"/>
        <v>2.6349161617584896E-2</v>
      </c>
      <c r="J30" s="19">
        <f t="shared" si="1"/>
        <v>0.21836007130124777</v>
      </c>
      <c r="K30" s="20">
        <f t="shared" si="2"/>
        <v>3.310810810810811</v>
      </c>
      <c r="L30" s="21">
        <f t="shared" si="3"/>
        <v>35.942857142857143</v>
      </c>
      <c r="M30" s="7">
        <v>8806</v>
      </c>
      <c r="N30" s="7" t="str">
        <f t="shared" si="4"/>
        <v>July</v>
      </c>
      <c r="O30" s="8"/>
    </row>
    <row r="31" spans="1:15" x14ac:dyDescent="0.5">
      <c r="A31" s="22">
        <v>45505</v>
      </c>
      <c r="B31" s="7" t="s">
        <v>63</v>
      </c>
      <c r="C31" s="7" t="s">
        <v>58</v>
      </c>
      <c r="D31" s="7" t="s">
        <v>17</v>
      </c>
      <c r="E31" s="7">
        <v>26806</v>
      </c>
      <c r="F31" s="7">
        <v>1290</v>
      </c>
      <c r="G31" s="7">
        <v>16</v>
      </c>
      <c r="H31" s="7">
        <v>1180</v>
      </c>
      <c r="I31" s="18">
        <f t="shared" si="0"/>
        <v>4.8123554428113106E-2</v>
      </c>
      <c r="J31" s="19">
        <f t="shared" si="1"/>
        <v>0.9147286821705426</v>
      </c>
      <c r="K31" s="20">
        <f t="shared" si="2"/>
        <v>73.75</v>
      </c>
      <c r="L31" s="21">
        <f t="shared" si="3"/>
        <v>1.8305084745762712</v>
      </c>
      <c r="M31" s="7">
        <v>2160</v>
      </c>
      <c r="N31" s="7" t="str">
        <f t="shared" si="4"/>
        <v>August</v>
      </c>
      <c r="O31" s="8"/>
    </row>
    <row r="32" spans="1:15" x14ac:dyDescent="0.5">
      <c r="A32" s="22">
        <v>45536</v>
      </c>
      <c r="B32" s="7" t="s">
        <v>64</v>
      </c>
      <c r="C32" s="7" t="s">
        <v>58</v>
      </c>
      <c r="D32" s="7" t="s">
        <v>17</v>
      </c>
      <c r="E32" s="7">
        <v>6809</v>
      </c>
      <c r="F32" s="7">
        <v>872</v>
      </c>
      <c r="G32" s="7">
        <v>43</v>
      </c>
      <c r="H32" s="7">
        <v>1218</v>
      </c>
      <c r="I32" s="18">
        <f t="shared" si="0"/>
        <v>0.1280657952709649</v>
      </c>
      <c r="J32" s="19">
        <f t="shared" si="1"/>
        <v>1.3967889908256881</v>
      </c>
      <c r="K32" s="20">
        <f t="shared" si="2"/>
        <v>28.325581395348838</v>
      </c>
      <c r="L32" s="21">
        <f t="shared" si="3"/>
        <v>3.4950738916256157</v>
      </c>
      <c r="M32" s="7">
        <v>4257</v>
      </c>
      <c r="N32" s="7" t="str">
        <f t="shared" si="4"/>
        <v>September</v>
      </c>
      <c r="O32" s="8"/>
    </row>
    <row r="33" spans="1:15" x14ac:dyDescent="0.5">
      <c r="A33" s="22">
        <v>45566</v>
      </c>
      <c r="B33" s="7" t="s">
        <v>65</v>
      </c>
      <c r="C33" s="7" t="s">
        <v>58</v>
      </c>
      <c r="D33" s="7" t="s">
        <v>17</v>
      </c>
      <c r="E33" s="7">
        <v>39626</v>
      </c>
      <c r="F33" s="7">
        <v>786</v>
      </c>
      <c r="G33" s="7">
        <v>63</v>
      </c>
      <c r="H33" s="7">
        <v>359</v>
      </c>
      <c r="I33" s="18">
        <f t="shared" si="0"/>
        <v>1.9835461565638722E-2</v>
      </c>
      <c r="J33" s="19">
        <f t="shared" si="1"/>
        <v>0.45674300254452926</v>
      </c>
      <c r="K33" s="20">
        <f t="shared" si="2"/>
        <v>5.6984126984126986</v>
      </c>
      <c r="L33" s="21">
        <f t="shared" si="3"/>
        <v>23.33983286908078</v>
      </c>
      <c r="M33" s="7">
        <v>8379</v>
      </c>
      <c r="N33" s="7" t="str">
        <f t="shared" si="4"/>
        <v>October</v>
      </c>
      <c r="O33" s="8"/>
    </row>
    <row r="34" spans="1:15" x14ac:dyDescent="0.5">
      <c r="A34" s="22">
        <v>45597</v>
      </c>
      <c r="B34" s="7" t="s">
        <v>66</v>
      </c>
      <c r="C34" s="7" t="s">
        <v>58</v>
      </c>
      <c r="D34" s="7" t="s">
        <v>17</v>
      </c>
      <c r="E34" s="7">
        <v>19294</v>
      </c>
      <c r="F34" s="7">
        <v>1836</v>
      </c>
      <c r="G34" s="7">
        <v>19</v>
      </c>
      <c r="H34" s="7">
        <v>1498</v>
      </c>
      <c r="I34" s="18">
        <f t="shared" si="0"/>
        <v>9.5159116823883075E-2</v>
      </c>
      <c r="J34" s="19">
        <f t="shared" si="1"/>
        <v>0.81590413943355122</v>
      </c>
      <c r="K34" s="20">
        <f t="shared" si="2"/>
        <v>78.84210526315789</v>
      </c>
      <c r="L34" s="21">
        <f t="shared" si="3"/>
        <v>1.4332443257676903</v>
      </c>
      <c r="M34" s="7">
        <v>2147</v>
      </c>
      <c r="N34" s="7" t="str">
        <f t="shared" si="4"/>
        <v>November</v>
      </c>
      <c r="O34" s="8"/>
    </row>
    <row r="35" spans="1:15" x14ac:dyDescent="0.5">
      <c r="A35" s="22">
        <v>45627</v>
      </c>
      <c r="B35" s="7" t="s">
        <v>54</v>
      </c>
      <c r="C35" s="7" t="s">
        <v>58</v>
      </c>
      <c r="D35" s="7" t="s">
        <v>17</v>
      </c>
      <c r="E35" s="7">
        <v>29013</v>
      </c>
      <c r="F35" s="7">
        <v>928</v>
      </c>
      <c r="G35" s="7">
        <v>92</v>
      </c>
      <c r="H35" s="7">
        <v>303</v>
      </c>
      <c r="I35" s="18">
        <f t="shared" si="0"/>
        <v>3.1985661599972424E-2</v>
      </c>
      <c r="J35" s="19">
        <f t="shared" si="1"/>
        <v>0.32650862068965519</v>
      </c>
      <c r="K35" s="20">
        <f t="shared" si="2"/>
        <v>3.2934782608695654</v>
      </c>
      <c r="L35" s="21">
        <f t="shared" si="3"/>
        <v>44.330033003300329</v>
      </c>
      <c r="M35" s="7">
        <v>13432</v>
      </c>
      <c r="N35" s="7" t="str">
        <f t="shared" si="4"/>
        <v>December</v>
      </c>
      <c r="O35" s="8"/>
    </row>
    <row r="36" spans="1:15" x14ac:dyDescent="0.5">
      <c r="A36" s="22">
        <v>45506</v>
      </c>
      <c r="B36" s="7" t="s">
        <v>67</v>
      </c>
      <c r="C36" s="7" t="s">
        <v>58</v>
      </c>
      <c r="D36" s="7" t="s">
        <v>17</v>
      </c>
      <c r="E36" s="7">
        <v>40718</v>
      </c>
      <c r="F36" s="7">
        <v>626</v>
      </c>
      <c r="G36" s="7">
        <v>53</v>
      </c>
      <c r="H36" s="7">
        <v>1237</v>
      </c>
      <c r="I36" s="18">
        <f t="shared" si="0"/>
        <v>1.5374036052851319E-2</v>
      </c>
      <c r="J36" s="19">
        <f t="shared" si="1"/>
        <v>1.976038338658147</v>
      </c>
      <c r="K36" s="20">
        <f t="shared" si="2"/>
        <v>23.339622641509433</v>
      </c>
      <c r="L36" s="21">
        <f t="shared" si="3"/>
        <v>3.4704931285367824</v>
      </c>
      <c r="M36" s="7">
        <v>4293</v>
      </c>
      <c r="N36" s="7" t="str">
        <f t="shared" si="4"/>
        <v>August</v>
      </c>
      <c r="O36" s="8"/>
    </row>
    <row r="37" spans="1:15" x14ac:dyDescent="0.5">
      <c r="A37" s="22">
        <v>45567</v>
      </c>
      <c r="B37" s="7" t="s">
        <v>68</v>
      </c>
      <c r="C37" s="7" t="s">
        <v>58</v>
      </c>
      <c r="D37" s="7" t="s">
        <v>17</v>
      </c>
      <c r="E37" s="7">
        <v>8360</v>
      </c>
      <c r="F37" s="7">
        <v>469</v>
      </c>
      <c r="G37" s="7">
        <v>64</v>
      </c>
      <c r="H37" s="7">
        <v>870</v>
      </c>
      <c r="I37" s="18">
        <f t="shared" si="0"/>
        <v>5.6100478468899519E-2</v>
      </c>
      <c r="J37" s="19">
        <f t="shared" si="1"/>
        <v>1.8550106609808101</v>
      </c>
      <c r="K37" s="20">
        <f t="shared" si="2"/>
        <v>13.59375</v>
      </c>
      <c r="L37" s="21">
        <f t="shared" si="3"/>
        <v>7.3563218390804597</v>
      </c>
      <c r="M37" s="7">
        <v>6400</v>
      </c>
      <c r="N37" s="7" t="str">
        <f t="shared" si="4"/>
        <v>October</v>
      </c>
      <c r="O37" s="8"/>
    </row>
    <row r="38" spans="1:15" x14ac:dyDescent="0.5">
      <c r="A38" s="22">
        <v>45598</v>
      </c>
      <c r="B38" s="7" t="s">
        <v>69</v>
      </c>
      <c r="C38" s="7" t="s">
        <v>52</v>
      </c>
      <c r="D38" s="7" t="s">
        <v>53</v>
      </c>
      <c r="E38" s="7">
        <v>20162</v>
      </c>
      <c r="F38" s="7">
        <v>1297</v>
      </c>
      <c r="G38" s="7">
        <v>22</v>
      </c>
      <c r="H38" s="7">
        <v>1446</v>
      </c>
      <c r="I38" s="18">
        <f t="shared" si="0"/>
        <v>6.4328935621466118E-2</v>
      </c>
      <c r="J38" s="19">
        <f t="shared" si="1"/>
        <v>1.1148804934464147</v>
      </c>
      <c r="K38" s="20">
        <f t="shared" si="2"/>
        <v>65.727272727272734</v>
      </c>
      <c r="L38" s="21">
        <f t="shared" si="3"/>
        <v>2.190871369294606</v>
      </c>
      <c r="M38" s="7">
        <v>3168</v>
      </c>
      <c r="N38" s="7" t="str">
        <f t="shared" si="4"/>
        <v>November</v>
      </c>
      <c r="O38" s="8"/>
    </row>
    <row r="39" spans="1:15" x14ac:dyDescent="0.5">
      <c r="A39" s="22">
        <v>45628</v>
      </c>
      <c r="B39" s="7" t="s">
        <v>70</v>
      </c>
      <c r="C39" s="7" t="s">
        <v>55</v>
      </c>
      <c r="D39" s="7" t="s">
        <v>56</v>
      </c>
      <c r="E39" s="7">
        <v>11044</v>
      </c>
      <c r="F39" s="7">
        <v>619</v>
      </c>
      <c r="G39" s="7">
        <v>22</v>
      </c>
      <c r="H39" s="7">
        <v>886</v>
      </c>
      <c r="I39" s="18">
        <f t="shared" si="0"/>
        <v>5.6048533140166605E-2</v>
      </c>
      <c r="J39" s="19">
        <f t="shared" si="1"/>
        <v>1.431340872374798</v>
      </c>
      <c r="K39" s="20">
        <f t="shared" si="2"/>
        <v>40.272727272727273</v>
      </c>
      <c r="L39" s="21">
        <f t="shared" si="3"/>
        <v>3.6749435665914221</v>
      </c>
      <c r="M39" s="7">
        <v>3256</v>
      </c>
      <c r="N39" s="7" t="str">
        <f t="shared" si="4"/>
        <v>December</v>
      </c>
      <c r="O39" s="8"/>
    </row>
    <row r="40" spans="1:15" x14ac:dyDescent="0.5">
      <c r="A40" s="22">
        <v>45294</v>
      </c>
      <c r="B40" s="7" t="s">
        <v>71</v>
      </c>
      <c r="C40" s="7" t="s">
        <v>58</v>
      </c>
      <c r="D40" s="7" t="s">
        <v>17</v>
      </c>
      <c r="E40" s="7">
        <v>27366</v>
      </c>
      <c r="F40" s="7">
        <v>266</v>
      </c>
      <c r="G40" s="7">
        <v>30</v>
      </c>
      <c r="H40" s="7">
        <v>1476</v>
      </c>
      <c r="I40" s="18">
        <f t="shared" si="0"/>
        <v>9.7200906234013017E-3</v>
      </c>
      <c r="J40" s="19">
        <f t="shared" si="1"/>
        <v>5.5488721804511281</v>
      </c>
      <c r="K40" s="20">
        <f t="shared" si="2"/>
        <v>49.2</v>
      </c>
      <c r="L40" s="21">
        <f t="shared" si="3"/>
        <v>2.9878048780487805</v>
      </c>
      <c r="M40" s="7">
        <v>4410</v>
      </c>
      <c r="N40" s="7" t="str">
        <f t="shared" si="4"/>
        <v>January</v>
      </c>
      <c r="O40" s="8"/>
    </row>
    <row r="41" spans="1:15" x14ac:dyDescent="0.5">
      <c r="A41" s="22">
        <v>45325</v>
      </c>
      <c r="B41" s="7" t="s">
        <v>72</v>
      </c>
      <c r="C41" s="7" t="s">
        <v>58</v>
      </c>
      <c r="D41" s="7" t="s">
        <v>17</v>
      </c>
      <c r="E41" s="7">
        <v>44552</v>
      </c>
      <c r="F41" s="7">
        <v>1735</v>
      </c>
      <c r="G41" s="7">
        <v>67</v>
      </c>
      <c r="H41" s="7">
        <v>740</v>
      </c>
      <c r="I41" s="18">
        <f t="shared" si="0"/>
        <v>3.8943257317292153E-2</v>
      </c>
      <c r="J41" s="19">
        <f t="shared" si="1"/>
        <v>0.4265129682997118</v>
      </c>
      <c r="K41" s="20">
        <f t="shared" si="2"/>
        <v>11.044776119402986</v>
      </c>
      <c r="L41" s="21">
        <f t="shared" si="3"/>
        <v>10.14054054054054</v>
      </c>
      <c r="M41" s="7">
        <v>7504</v>
      </c>
      <c r="N41" s="7" t="str">
        <f t="shared" si="4"/>
        <v>February</v>
      </c>
      <c r="O41" s="8"/>
    </row>
    <row r="42" spans="1:15" x14ac:dyDescent="0.5">
      <c r="A42" s="22">
        <v>45354</v>
      </c>
      <c r="B42" s="7" t="s">
        <v>73</v>
      </c>
      <c r="C42" s="7" t="s">
        <v>52</v>
      </c>
      <c r="D42" s="7" t="s">
        <v>53</v>
      </c>
      <c r="E42" s="7">
        <v>12615</v>
      </c>
      <c r="F42" s="7">
        <v>1379</v>
      </c>
      <c r="G42" s="7">
        <v>53</v>
      </c>
      <c r="H42" s="7">
        <v>1080</v>
      </c>
      <c r="I42" s="18">
        <f t="shared" si="0"/>
        <v>0.10931430836305984</v>
      </c>
      <c r="J42" s="19">
        <f t="shared" si="1"/>
        <v>0.7831762146482959</v>
      </c>
      <c r="K42" s="20">
        <f t="shared" si="2"/>
        <v>20.377358490566039</v>
      </c>
      <c r="L42" s="21">
        <f t="shared" si="3"/>
        <v>4.3675925925925929</v>
      </c>
      <c r="M42" s="7">
        <v>4717</v>
      </c>
      <c r="N42" s="7" t="str">
        <f t="shared" si="4"/>
        <v>March</v>
      </c>
      <c r="O42" s="8"/>
    </row>
    <row r="43" spans="1:15" x14ac:dyDescent="0.5">
      <c r="A43" s="22">
        <v>45385</v>
      </c>
      <c r="B43" s="7" t="s">
        <v>74</v>
      </c>
      <c r="C43" s="7" t="s">
        <v>58</v>
      </c>
      <c r="D43" s="7" t="s">
        <v>17</v>
      </c>
      <c r="E43" s="7">
        <v>47427</v>
      </c>
      <c r="F43" s="7">
        <v>680</v>
      </c>
      <c r="G43" s="7">
        <v>30</v>
      </c>
      <c r="H43" s="7">
        <v>938</v>
      </c>
      <c r="I43" s="18">
        <f t="shared" si="0"/>
        <v>1.4337824445990681E-2</v>
      </c>
      <c r="J43" s="19">
        <f t="shared" si="1"/>
        <v>1.3794117647058823</v>
      </c>
      <c r="K43" s="20">
        <f t="shared" si="2"/>
        <v>31.266666666666666</v>
      </c>
      <c r="L43" s="21">
        <f t="shared" si="3"/>
        <v>3.7739872068230276</v>
      </c>
      <c r="M43" s="7">
        <v>3540</v>
      </c>
      <c r="N43" s="7" t="str">
        <f t="shared" si="4"/>
        <v>April</v>
      </c>
      <c r="O43" s="8"/>
    </row>
    <row r="44" spans="1:15" x14ac:dyDescent="0.5">
      <c r="A44" s="22">
        <v>45446</v>
      </c>
      <c r="B44" s="7" t="s">
        <v>61</v>
      </c>
      <c r="C44" s="7" t="s">
        <v>58</v>
      </c>
      <c r="D44" s="7" t="s">
        <v>17</v>
      </c>
      <c r="E44" s="7">
        <v>22872</v>
      </c>
      <c r="F44" s="7">
        <v>1095</v>
      </c>
      <c r="G44" s="7">
        <v>88</v>
      </c>
      <c r="H44" s="7">
        <v>1203</v>
      </c>
      <c r="I44" s="18">
        <f t="shared" si="0"/>
        <v>4.7875131164742915E-2</v>
      </c>
      <c r="J44" s="19">
        <f t="shared" si="1"/>
        <v>1.0986301369863014</v>
      </c>
      <c r="K44" s="20">
        <f t="shared" si="2"/>
        <v>13.670454545454545</v>
      </c>
      <c r="L44" s="21">
        <f t="shared" si="3"/>
        <v>7.7539484621778882</v>
      </c>
      <c r="M44" s="7">
        <v>9328</v>
      </c>
      <c r="N44" s="7" t="str">
        <f t="shared" si="4"/>
        <v>June</v>
      </c>
      <c r="O44" s="8"/>
    </row>
    <row r="45" spans="1:15" x14ac:dyDescent="0.5">
      <c r="A45" s="22">
        <v>45476</v>
      </c>
      <c r="B45" s="7" t="s">
        <v>75</v>
      </c>
      <c r="C45" s="7" t="s">
        <v>55</v>
      </c>
      <c r="D45" s="7" t="s">
        <v>56</v>
      </c>
      <c r="E45" s="7">
        <v>16771</v>
      </c>
      <c r="F45" s="7">
        <v>568</v>
      </c>
      <c r="G45" s="7">
        <v>93</v>
      </c>
      <c r="H45" s="7">
        <v>935</v>
      </c>
      <c r="I45" s="18">
        <f t="shared" si="0"/>
        <v>3.386798640510405E-2</v>
      </c>
      <c r="J45" s="19">
        <f t="shared" si="1"/>
        <v>1.6461267605633803</v>
      </c>
      <c r="K45" s="20">
        <f t="shared" si="2"/>
        <v>10.053763440860216</v>
      </c>
      <c r="L45" s="21">
        <f t="shared" si="3"/>
        <v>14.919786096256685</v>
      </c>
      <c r="M45" s="7">
        <v>13950</v>
      </c>
      <c r="N45" s="7" t="str">
        <f t="shared" si="4"/>
        <v>July</v>
      </c>
      <c r="O45" s="8"/>
    </row>
    <row r="46" spans="1:15" x14ac:dyDescent="0.5">
      <c r="A46" s="22">
        <v>45507</v>
      </c>
      <c r="B46" s="7" t="s">
        <v>76</v>
      </c>
      <c r="C46" s="7" t="s">
        <v>58</v>
      </c>
      <c r="D46" s="7" t="s">
        <v>17</v>
      </c>
      <c r="E46" s="7">
        <v>31286</v>
      </c>
      <c r="F46" s="7">
        <v>269</v>
      </c>
      <c r="G46" s="7">
        <v>96</v>
      </c>
      <c r="H46" s="7">
        <v>259</v>
      </c>
      <c r="I46" s="18">
        <f t="shared" si="0"/>
        <v>8.5980949945662598E-3</v>
      </c>
      <c r="J46" s="19">
        <f t="shared" si="1"/>
        <v>0.96282527881040891</v>
      </c>
      <c r="K46" s="20">
        <f t="shared" si="2"/>
        <v>2.6979166666666665</v>
      </c>
      <c r="L46" s="21">
        <f t="shared" si="3"/>
        <v>35.953667953667953</v>
      </c>
      <c r="M46" s="7">
        <v>9312</v>
      </c>
      <c r="N46" s="7" t="str">
        <f t="shared" si="4"/>
        <v>August</v>
      </c>
      <c r="O46" s="8"/>
    </row>
    <row r="47" spans="1:15" x14ac:dyDescent="0.5">
      <c r="A47" s="22">
        <v>45538</v>
      </c>
      <c r="B47" s="7" t="s">
        <v>77</v>
      </c>
      <c r="C47" s="7" t="s">
        <v>58</v>
      </c>
      <c r="D47" s="7" t="s">
        <v>17</v>
      </c>
      <c r="E47" s="7">
        <v>12511</v>
      </c>
      <c r="F47" s="7">
        <v>628</v>
      </c>
      <c r="G47" s="7">
        <v>10</v>
      </c>
      <c r="H47" s="7">
        <v>947</v>
      </c>
      <c r="I47" s="18">
        <f t="shared" si="0"/>
        <v>5.019582767164895E-2</v>
      </c>
      <c r="J47" s="19">
        <f t="shared" si="1"/>
        <v>1.5079617834394905</v>
      </c>
      <c r="K47" s="20">
        <f t="shared" si="2"/>
        <v>94.7</v>
      </c>
      <c r="L47" s="21">
        <f t="shared" si="3"/>
        <v>1.3093980992608236</v>
      </c>
      <c r="M47" s="7">
        <v>1240</v>
      </c>
      <c r="N47" s="7" t="str">
        <f t="shared" si="4"/>
        <v>September</v>
      </c>
      <c r="O47" s="8"/>
    </row>
    <row r="48" spans="1:15" x14ac:dyDescent="0.5">
      <c r="A48" s="22">
        <v>45568</v>
      </c>
      <c r="B48" s="7" t="s">
        <v>78</v>
      </c>
      <c r="C48" s="7" t="s">
        <v>52</v>
      </c>
      <c r="D48" s="7" t="s">
        <v>53</v>
      </c>
      <c r="E48" s="7">
        <v>43180</v>
      </c>
      <c r="F48" s="7">
        <v>257</v>
      </c>
      <c r="G48" s="7">
        <v>64</v>
      </c>
      <c r="H48" s="7">
        <v>915</v>
      </c>
      <c r="I48" s="18">
        <f t="shared" si="0"/>
        <v>5.9518295507179249E-3</v>
      </c>
      <c r="J48" s="19">
        <f t="shared" si="1"/>
        <v>3.5603112840466924</v>
      </c>
      <c r="K48" s="20">
        <f t="shared" si="2"/>
        <v>14.296875</v>
      </c>
      <c r="L48" s="21">
        <f t="shared" si="3"/>
        <v>9.3027322404371589</v>
      </c>
      <c r="M48" s="7">
        <v>8512</v>
      </c>
      <c r="N48" s="7" t="str">
        <f t="shared" si="4"/>
        <v>October</v>
      </c>
      <c r="O48" s="8"/>
    </row>
    <row r="49" spans="1:15" x14ac:dyDescent="0.5">
      <c r="A49" s="22">
        <v>45599</v>
      </c>
      <c r="B49" s="7" t="s">
        <v>79</v>
      </c>
      <c r="C49" s="7" t="s">
        <v>58</v>
      </c>
      <c r="D49" s="7" t="s">
        <v>17</v>
      </c>
      <c r="E49" s="7">
        <v>5852</v>
      </c>
      <c r="F49" s="7">
        <v>1677</v>
      </c>
      <c r="G49" s="7">
        <v>67</v>
      </c>
      <c r="H49" s="7">
        <v>762</v>
      </c>
      <c r="I49" s="18">
        <f t="shared" si="0"/>
        <v>0.28656869446343131</v>
      </c>
      <c r="J49" s="19">
        <f t="shared" si="1"/>
        <v>0.45438282647584971</v>
      </c>
      <c r="K49" s="20">
        <f t="shared" si="2"/>
        <v>11.373134328358208</v>
      </c>
      <c r="L49" s="21">
        <f t="shared" si="3"/>
        <v>8.528871391076116</v>
      </c>
      <c r="M49" s="7">
        <v>6499</v>
      </c>
      <c r="N49" s="7" t="str">
        <f t="shared" si="4"/>
        <v>November</v>
      </c>
      <c r="O49" s="8"/>
    </row>
    <row r="50" spans="1:15" x14ac:dyDescent="0.5">
      <c r="A50" s="22">
        <v>45629</v>
      </c>
      <c r="B50" s="7" t="s">
        <v>80</v>
      </c>
      <c r="C50" s="7" t="s">
        <v>55</v>
      </c>
      <c r="D50" s="7" t="s">
        <v>56</v>
      </c>
      <c r="E50" s="7">
        <v>29684</v>
      </c>
      <c r="F50" s="7">
        <v>408</v>
      </c>
      <c r="G50" s="7">
        <v>72</v>
      </c>
      <c r="H50" s="7">
        <v>589</v>
      </c>
      <c r="I50" s="18">
        <f t="shared" si="0"/>
        <v>1.3744778331761218E-2</v>
      </c>
      <c r="J50" s="19">
        <f t="shared" si="1"/>
        <v>1.4436274509803921</v>
      </c>
      <c r="K50" s="20">
        <f t="shared" si="2"/>
        <v>8.1805555555555554</v>
      </c>
      <c r="L50" s="21">
        <f t="shared" si="3"/>
        <v>16.013582342954159</v>
      </c>
      <c r="M50" s="7">
        <v>9432</v>
      </c>
      <c r="N50" s="7" t="str">
        <f t="shared" si="4"/>
        <v>December</v>
      </c>
      <c r="O50" s="8"/>
    </row>
    <row r="51" spans="1:15" x14ac:dyDescent="0.5">
      <c r="A51" s="22">
        <v>45295</v>
      </c>
      <c r="B51" s="7" t="s">
        <v>81</v>
      </c>
      <c r="C51" s="7" t="s">
        <v>58</v>
      </c>
      <c r="D51" s="7" t="s">
        <v>17</v>
      </c>
      <c r="E51" s="7">
        <v>38255</v>
      </c>
      <c r="F51" s="7">
        <v>527</v>
      </c>
      <c r="G51" s="7">
        <v>27</v>
      </c>
      <c r="H51" s="7">
        <v>470</v>
      </c>
      <c r="I51" s="18">
        <f t="shared" si="0"/>
        <v>1.377597699647105E-2</v>
      </c>
      <c r="J51" s="19">
        <f t="shared" si="1"/>
        <v>0.89184060721062619</v>
      </c>
      <c r="K51" s="20">
        <f t="shared" si="2"/>
        <v>17.407407407407408</v>
      </c>
      <c r="L51" s="21">
        <f t="shared" si="3"/>
        <v>4.8255319148936167</v>
      </c>
      <c r="M51" s="7">
        <v>2268</v>
      </c>
      <c r="N51" s="7" t="str">
        <f t="shared" si="4"/>
        <v>January</v>
      </c>
      <c r="O51" s="8"/>
    </row>
    <row r="52" spans="1:15" x14ac:dyDescent="0.5">
      <c r="A52" s="22">
        <v>45326</v>
      </c>
      <c r="B52" s="7" t="s">
        <v>82</v>
      </c>
      <c r="C52" s="7" t="s">
        <v>55</v>
      </c>
      <c r="D52" s="7" t="s">
        <v>56</v>
      </c>
      <c r="E52" s="7">
        <v>22537</v>
      </c>
      <c r="F52" s="7">
        <v>1064</v>
      </c>
      <c r="G52" s="7">
        <v>48</v>
      </c>
      <c r="H52" s="7">
        <v>448</v>
      </c>
      <c r="I52" s="18">
        <f t="shared" si="0"/>
        <v>4.7211252606824336E-2</v>
      </c>
      <c r="J52" s="19">
        <f t="shared" si="1"/>
        <v>0.42105263157894735</v>
      </c>
      <c r="K52" s="20">
        <f t="shared" si="2"/>
        <v>9.3333333333333339</v>
      </c>
      <c r="L52" s="21">
        <f t="shared" si="3"/>
        <v>9.1071428571428577</v>
      </c>
      <c r="M52" s="7">
        <v>4080</v>
      </c>
      <c r="N52" s="7" t="str">
        <f t="shared" si="4"/>
        <v>February</v>
      </c>
      <c r="O52" s="8"/>
    </row>
    <row r="53" spans="1:15" x14ac:dyDescent="0.5">
      <c r="A53" s="22">
        <v>45386</v>
      </c>
      <c r="B53" s="7" t="s">
        <v>64</v>
      </c>
      <c r="C53" s="7" t="s">
        <v>58</v>
      </c>
      <c r="D53" s="7" t="s">
        <v>17</v>
      </c>
      <c r="E53" s="7">
        <v>17654</v>
      </c>
      <c r="F53" s="7">
        <v>1480</v>
      </c>
      <c r="G53" s="7">
        <v>94</v>
      </c>
      <c r="H53" s="7">
        <v>1348</v>
      </c>
      <c r="I53" s="18">
        <f t="shared" si="0"/>
        <v>8.3833692081114755E-2</v>
      </c>
      <c r="J53" s="19">
        <f t="shared" si="1"/>
        <v>0.91081081081081083</v>
      </c>
      <c r="K53" s="20">
        <f t="shared" si="2"/>
        <v>14.340425531914894</v>
      </c>
      <c r="L53" s="21">
        <f t="shared" si="3"/>
        <v>8.646884272997033</v>
      </c>
      <c r="M53" s="7">
        <v>11656</v>
      </c>
      <c r="N53" s="7" t="str">
        <f t="shared" si="4"/>
        <v>April</v>
      </c>
      <c r="O53" s="8"/>
    </row>
    <row r="54" spans="1:15" x14ac:dyDescent="0.5">
      <c r="A54" s="22">
        <v>45385</v>
      </c>
      <c r="B54" s="7" t="s">
        <v>83</v>
      </c>
      <c r="C54" s="7" t="s">
        <v>52</v>
      </c>
      <c r="D54" s="7" t="s">
        <v>53</v>
      </c>
      <c r="E54" s="7">
        <v>47414</v>
      </c>
      <c r="F54" s="7">
        <v>719</v>
      </c>
      <c r="G54" s="7">
        <v>48</v>
      </c>
      <c r="H54" s="7">
        <v>579</v>
      </c>
      <c r="I54" s="18">
        <f t="shared" si="0"/>
        <v>1.516429746488379E-2</v>
      </c>
      <c r="J54" s="19">
        <f t="shared" si="1"/>
        <v>0.80528511821974968</v>
      </c>
      <c r="K54" s="20">
        <f t="shared" si="2"/>
        <v>12.0625</v>
      </c>
      <c r="L54" s="21">
        <f t="shared" si="3"/>
        <v>10.94300518134715</v>
      </c>
      <c r="M54" s="7">
        <v>6336</v>
      </c>
      <c r="N54" s="7" t="str">
        <f t="shared" si="4"/>
        <v>April</v>
      </c>
      <c r="O54" s="8"/>
    </row>
    <row r="55" spans="1:15" x14ac:dyDescent="0.5">
      <c r="A55" s="22">
        <v>45446</v>
      </c>
      <c r="B55" s="7" t="s">
        <v>79</v>
      </c>
      <c r="C55" s="7" t="s">
        <v>58</v>
      </c>
      <c r="D55" s="7" t="s">
        <v>17</v>
      </c>
      <c r="E55" s="7">
        <v>23979</v>
      </c>
      <c r="F55" s="7">
        <v>1334</v>
      </c>
      <c r="G55" s="7">
        <v>44</v>
      </c>
      <c r="H55" s="7">
        <v>1353</v>
      </c>
      <c r="I55" s="18">
        <f t="shared" si="0"/>
        <v>5.5632011343258687E-2</v>
      </c>
      <c r="J55" s="19">
        <f t="shared" si="1"/>
        <v>1.0142428785607196</v>
      </c>
      <c r="K55" s="20">
        <f t="shared" si="2"/>
        <v>30.75</v>
      </c>
      <c r="L55" s="21">
        <f t="shared" si="3"/>
        <v>4</v>
      </c>
      <c r="M55" s="7">
        <v>5412</v>
      </c>
      <c r="N55" s="7" t="str">
        <f t="shared" si="4"/>
        <v>June</v>
      </c>
      <c r="O55" s="8"/>
    </row>
    <row r="56" spans="1:15" x14ac:dyDescent="0.5">
      <c r="A56" s="22">
        <v>45476</v>
      </c>
      <c r="B56" s="7" t="s">
        <v>84</v>
      </c>
      <c r="C56" s="7" t="s">
        <v>55</v>
      </c>
      <c r="D56" s="7" t="s">
        <v>56</v>
      </c>
      <c r="E56" s="7">
        <v>14781</v>
      </c>
      <c r="F56" s="7">
        <v>1955</v>
      </c>
      <c r="G56" s="7">
        <v>87</v>
      </c>
      <c r="H56" s="7">
        <v>524</v>
      </c>
      <c r="I56" s="18">
        <f t="shared" si="0"/>
        <v>0.13226439347811381</v>
      </c>
      <c r="J56" s="19">
        <f t="shared" si="1"/>
        <v>0.26803069053708439</v>
      </c>
      <c r="K56" s="20">
        <f t="shared" si="2"/>
        <v>6.0229885057471266</v>
      </c>
      <c r="L56" s="21">
        <f t="shared" si="3"/>
        <v>22.414122137404579</v>
      </c>
      <c r="M56" s="7">
        <v>11745</v>
      </c>
      <c r="N56" s="7" t="str">
        <f t="shared" si="4"/>
        <v>July</v>
      </c>
      <c r="O56" s="8"/>
    </row>
    <row r="57" spans="1:15" x14ac:dyDescent="0.5">
      <c r="A57" s="22">
        <v>45506</v>
      </c>
      <c r="B57" s="7" t="s">
        <v>85</v>
      </c>
      <c r="C57" s="7" t="s">
        <v>58</v>
      </c>
      <c r="D57" s="7" t="s">
        <v>17</v>
      </c>
      <c r="E57" s="7">
        <v>48873</v>
      </c>
      <c r="F57" s="7">
        <v>1301</v>
      </c>
      <c r="G57" s="7">
        <v>97</v>
      </c>
      <c r="H57" s="7">
        <v>1204</v>
      </c>
      <c r="I57" s="18">
        <f t="shared" si="0"/>
        <v>2.6620015141284554E-2</v>
      </c>
      <c r="J57" s="19">
        <f t="shared" si="1"/>
        <v>0.92544196771714071</v>
      </c>
      <c r="K57" s="20">
        <f t="shared" si="2"/>
        <v>12.412371134020619</v>
      </c>
      <c r="L57" s="21">
        <f t="shared" si="3"/>
        <v>6.0423588039867111</v>
      </c>
      <c r="M57" s="7">
        <v>7275</v>
      </c>
      <c r="N57" s="7" t="str">
        <f t="shared" si="4"/>
        <v>August</v>
      </c>
      <c r="O57" s="8"/>
    </row>
    <row r="58" spans="1:15" x14ac:dyDescent="0.5">
      <c r="A58" s="22">
        <v>45567</v>
      </c>
      <c r="B58" s="7" t="s">
        <v>86</v>
      </c>
      <c r="C58" s="7" t="s">
        <v>55</v>
      </c>
      <c r="D58" s="7" t="s">
        <v>56</v>
      </c>
      <c r="E58" s="7">
        <v>30860</v>
      </c>
      <c r="F58" s="7">
        <v>1506</v>
      </c>
      <c r="G58" s="7">
        <v>14</v>
      </c>
      <c r="H58" s="7">
        <v>665</v>
      </c>
      <c r="I58" s="18">
        <f t="shared" si="0"/>
        <v>4.880103694102398E-2</v>
      </c>
      <c r="J58" s="19">
        <f t="shared" si="1"/>
        <v>0.44156706507304117</v>
      </c>
      <c r="K58" s="20">
        <f t="shared" si="2"/>
        <v>47.5</v>
      </c>
      <c r="L58" s="21">
        <f t="shared" si="3"/>
        <v>2.1263157894736842</v>
      </c>
      <c r="M58" s="7">
        <v>1414</v>
      </c>
      <c r="N58" s="7" t="str">
        <f t="shared" si="4"/>
        <v>October</v>
      </c>
      <c r="O58" s="8"/>
    </row>
    <row r="59" spans="1:15" x14ac:dyDescent="0.5">
      <c r="A59" s="22">
        <v>45598</v>
      </c>
      <c r="B59" s="7" t="s">
        <v>87</v>
      </c>
      <c r="C59" s="7" t="s">
        <v>58</v>
      </c>
      <c r="D59" s="7" t="s">
        <v>17</v>
      </c>
      <c r="E59" s="7">
        <v>7685</v>
      </c>
      <c r="F59" s="7">
        <v>968</v>
      </c>
      <c r="G59" s="7">
        <v>53</v>
      </c>
      <c r="H59" s="7">
        <v>202</v>
      </c>
      <c r="I59" s="18">
        <f t="shared" si="0"/>
        <v>0.12595966167859465</v>
      </c>
      <c r="J59" s="19">
        <f t="shared" si="1"/>
        <v>0.20867768595041322</v>
      </c>
      <c r="K59" s="20">
        <f t="shared" si="2"/>
        <v>3.8113207547169812</v>
      </c>
      <c r="L59" s="21">
        <f t="shared" si="3"/>
        <v>33.059405940594061</v>
      </c>
      <c r="M59" s="7">
        <v>6678</v>
      </c>
      <c r="N59" s="7" t="str">
        <f t="shared" si="4"/>
        <v>November</v>
      </c>
      <c r="O59" s="8"/>
    </row>
    <row r="60" spans="1:15" x14ac:dyDescent="0.5">
      <c r="A60" s="22">
        <v>45628</v>
      </c>
      <c r="B60" s="7" t="s">
        <v>88</v>
      </c>
      <c r="C60" s="7" t="s">
        <v>58</v>
      </c>
      <c r="D60" s="7" t="s">
        <v>17</v>
      </c>
      <c r="E60" s="7">
        <v>45563</v>
      </c>
      <c r="F60" s="7">
        <v>1181</v>
      </c>
      <c r="G60" s="7">
        <v>29</v>
      </c>
      <c r="H60" s="7">
        <v>1483</v>
      </c>
      <c r="I60" s="18">
        <f t="shared" si="0"/>
        <v>2.5920154511335954E-2</v>
      </c>
      <c r="J60" s="19">
        <f t="shared" si="1"/>
        <v>1.2557154953429297</v>
      </c>
      <c r="K60" s="20">
        <f t="shared" si="2"/>
        <v>51.137931034482762</v>
      </c>
      <c r="L60" s="21">
        <f t="shared" si="3"/>
        <v>1.7208361429534726</v>
      </c>
      <c r="M60" s="7">
        <v>2552</v>
      </c>
      <c r="N60" s="7" t="str">
        <f t="shared" si="4"/>
        <v>December</v>
      </c>
      <c r="O60" s="8"/>
    </row>
    <row r="61" spans="1:15" x14ac:dyDescent="0.5">
      <c r="A61" s="22">
        <v>45294</v>
      </c>
      <c r="B61" s="7" t="s">
        <v>89</v>
      </c>
      <c r="C61" s="7" t="s">
        <v>58</v>
      </c>
      <c r="D61" s="7" t="s">
        <v>17</v>
      </c>
      <c r="E61" s="7">
        <v>39366</v>
      </c>
      <c r="F61" s="7">
        <v>1933</v>
      </c>
      <c r="G61" s="7">
        <v>62</v>
      </c>
      <c r="H61" s="7">
        <v>763</v>
      </c>
      <c r="I61" s="18">
        <f t="shared" si="0"/>
        <v>4.9103287100543618E-2</v>
      </c>
      <c r="J61" s="19">
        <f t="shared" si="1"/>
        <v>0.39472322814278321</v>
      </c>
      <c r="K61" s="20">
        <f t="shared" si="2"/>
        <v>12.306451612903226</v>
      </c>
      <c r="L61" s="21">
        <f t="shared" si="3"/>
        <v>10.157273918741808</v>
      </c>
      <c r="M61" s="7">
        <v>7750</v>
      </c>
      <c r="N61" s="7" t="str">
        <f t="shared" si="4"/>
        <v>January</v>
      </c>
      <c r="O61" s="8"/>
    </row>
    <row r="62" spans="1:15" x14ac:dyDescent="0.5">
      <c r="A62" s="22">
        <v>45325</v>
      </c>
      <c r="B62" s="7" t="s">
        <v>90</v>
      </c>
      <c r="C62" s="7" t="s">
        <v>58</v>
      </c>
      <c r="D62" s="7" t="s">
        <v>17</v>
      </c>
      <c r="E62" s="7">
        <v>9940</v>
      </c>
      <c r="F62" s="7">
        <v>1226</v>
      </c>
      <c r="G62" s="7">
        <v>72</v>
      </c>
      <c r="H62" s="7">
        <v>711</v>
      </c>
      <c r="I62" s="18">
        <f t="shared" si="0"/>
        <v>0.12334004024144869</v>
      </c>
      <c r="J62" s="19">
        <f t="shared" si="1"/>
        <v>0.57993474714518756</v>
      </c>
      <c r="K62" s="20">
        <f t="shared" si="2"/>
        <v>9.875</v>
      </c>
      <c r="L62" s="21">
        <f t="shared" si="3"/>
        <v>8.3037974683544302</v>
      </c>
      <c r="M62" s="7">
        <v>5904</v>
      </c>
      <c r="N62" s="7" t="str">
        <f t="shared" si="4"/>
        <v>February</v>
      </c>
      <c r="O62" s="8"/>
    </row>
    <row r="63" spans="1:15" x14ac:dyDescent="0.5">
      <c r="A63" s="22">
        <v>45354</v>
      </c>
      <c r="B63" s="7" t="s">
        <v>91</v>
      </c>
      <c r="C63" s="7" t="s">
        <v>58</v>
      </c>
      <c r="D63" s="7" t="s">
        <v>17</v>
      </c>
      <c r="E63" s="7">
        <v>45134</v>
      </c>
      <c r="F63" s="7">
        <v>804</v>
      </c>
      <c r="G63" s="7">
        <v>39</v>
      </c>
      <c r="H63" s="7">
        <v>1353</v>
      </c>
      <c r="I63" s="18">
        <f t="shared" si="0"/>
        <v>1.781362165994594E-2</v>
      </c>
      <c r="J63" s="19">
        <f t="shared" si="1"/>
        <v>1.6828358208955223</v>
      </c>
      <c r="K63" s="20">
        <f t="shared" si="2"/>
        <v>34.692307692307693</v>
      </c>
      <c r="L63" s="21">
        <f t="shared" si="3"/>
        <v>3.0266075388026605</v>
      </c>
      <c r="M63" s="7">
        <v>4095</v>
      </c>
      <c r="N63" s="7" t="str">
        <f t="shared" si="4"/>
        <v>March</v>
      </c>
      <c r="O63" s="8"/>
    </row>
    <row r="64" spans="1:15" x14ac:dyDescent="0.5">
      <c r="A64" s="22">
        <v>45385</v>
      </c>
      <c r="B64" s="7" t="s">
        <v>92</v>
      </c>
      <c r="C64" s="7" t="s">
        <v>55</v>
      </c>
      <c r="D64" s="7" t="s">
        <v>56</v>
      </c>
      <c r="E64" s="7">
        <v>18672</v>
      </c>
      <c r="F64" s="7">
        <v>1132</v>
      </c>
      <c r="G64" s="7">
        <v>17</v>
      </c>
      <c r="H64" s="7">
        <v>1244</v>
      </c>
      <c r="I64" s="18">
        <f t="shared" si="0"/>
        <v>6.0625535561268207E-2</v>
      </c>
      <c r="J64" s="19">
        <f t="shared" si="1"/>
        <v>1.0989399293286219</v>
      </c>
      <c r="K64" s="20">
        <f t="shared" si="2"/>
        <v>73.17647058823529</v>
      </c>
      <c r="L64" s="21">
        <f t="shared" si="3"/>
        <v>1.7491961414790997</v>
      </c>
      <c r="M64" s="7">
        <v>2176</v>
      </c>
      <c r="N64" s="7" t="str">
        <f t="shared" si="4"/>
        <v>April</v>
      </c>
      <c r="O64" s="8"/>
    </row>
    <row r="65" spans="1:15" x14ac:dyDescent="0.5">
      <c r="A65" s="22">
        <v>45446</v>
      </c>
      <c r="B65" s="7" t="s">
        <v>93</v>
      </c>
      <c r="C65" s="7" t="s">
        <v>58</v>
      </c>
      <c r="D65" s="7" t="s">
        <v>17</v>
      </c>
      <c r="E65" s="7">
        <v>7735</v>
      </c>
      <c r="F65" s="7">
        <v>249</v>
      </c>
      <c r="G65" s="7">
        <v>20</v>
      </c>
      <c r="H65" s="7">
        <v>469</v>
      </c>
      <c r="I65" s="18">
        <f t="shared" si="0"/>
        <v>3.2191338073691012E-2</v>
      </c>
      <c r="J65" s="19">
        <f t="shared" si="1"/>
        <v>1.8835341365461848</v>
      </c>
      <c r="K65" s="20">
        <f t="shared" si="2"/>
        <v>23.45</v>
      </c>
      <c r="L65" s="21">
        <f t="shared" si="3"/>
        <v>5.4157782515991473</v>
      </c>
      <c r="M65" s="7">
        <v>2540</v>
      </c>
      <c r="N65" s="7" t="str">
        <f t="shared" si="4"/>
        <v>June</v>
      </c>
      <c r="O65" s="8"/>
    </row>
    <row r="66" spans="1:15" x14ac:dyDescent="0.5">
      <c r="A66" s="22">
        <v>45476</v>
      </c>
      <c r="B66" s="7" t="s">
        <v>82</v>
      </c>
      <c r="C66" s="7" t="s">
        <v>58</v>
      </c>
      <c r="D66" s="7" t="s">
        <v>17</v>
      </c>
      <c r="E66" s="7">
        <v>15936</v>
      </c>
      <c r="F66" s="7">
        <v>448</v>
      </c>
      <c r="G66" s="7">
        <v>79</v>
      </c>
      <c r="H66" s="7">
        <v>886</v>
      </c>
      <c r="I66" s="18">
        <f t="shared" si="0"/>
        <v>2.8112449799196786E-2</v>
      </c>
      <c r="J66" s="19">
        <f t="shared" si="1"/>
        <v>1.9776785714285714</v>
      </c>
      <c r="K66" s="20">
        <f t="shared" si="2"/>
        <v>11.215189873417721</v>
      </c>
      <c r="L66" s="21">
        <f t="shared" si="3"/>
        <v>13.107223476297968</v>
      </c>
      <c r="M66" s="7">
        <v>11613</v>
      </c>
      <c r="N66" s="7" t="str">
        <f t="shared" si="4"/>
        <v>July</v>
      </c>
      <c r="O66" s="8"/>
    </row>
    <row r="67" spans="1:15" x14ac:dyDescent="0.5">
      <c r="A67" s="22">
        <v>45507</v>
      </c>
      <c r="B67" s="7" t="s">
        <v>94</v>
      </c>
      <c r="C67" s="7" t="s">
        <v>58</v>
      </c>
      <c r="D67" s="7" t="s">
        <v>17</v>
      </c>
      <c r="E67" s="7">
        <v>8930</v>
      </c>
      <c r="F67" s="7">
        <v>394</v>
      </c>
      <c r="G67" s="7">
        <v>87</v>
      </c>
      <c r="H67" s="7">
        <v>1140</v>
      </c>
      <c r="I67" s="18">
        <f t="shared" ref="I67:I130" si="5">F67/E67</f>
        <v>4.4120940649496079E-2</v>
      </c>
      <c r="J67" s="19">
        <f t="shared" ref="J67:J130" si="6">H67/F67</f>
        <v>2.8934010152284264</v>
      </c>
      <c r="K67" s="20">
        <f t="shared" ref="K67:K130" si="7">H67/G67</f>
        <v>13.103448275862069</v>
      </c>
      <c r="L67" s="21">
        <f t="shared" ref="L67:L130" si="8">M67/H67</f>
        <v>7.5552631578947365</v>
      </c>
      <c r="M67" s="7">
        <v>8613</v>
      </c>
      <c r="N67" s="7" t="str">
        <f t="shared" ref="N67:N130" si="9">TEXT(A67,"mmmm")</f>
        <v>August</v>
      </c>
      <c r="O67" s="8"/>
    </row>
    <row r="68" spans="1:15" x14ac:dyDescent="0.5">
      <c r="A68" s="22">
        <v>45538</v>
      </c>
      <c r="B68" s="7" t="s">
        <v>95</v>
      </c>
      <c r="C68" s="7" t="s">
        <v>58</v>
      </c>
      <c r="D68" s="7" t="s">
        <v>17</v>
      </c>
      <c r="E68" s="7">
        <v>35407</v>
      </c>
      <c r="F68" s="7">
        <v>453</v>
      </c>
      <c r="G68" s="7">
        <v>17</v>
      </c>
      <c r="H68" s="7">
        <v>396</v>
      </c>
      <c r="I68" s="18">
        <f t="shared" si="5"/>
        <v>1.2794080266613946E-2</v>
      </c>
      <c r="J68" s="19">
        <f t="shared" si="6"/>
        <v>0.8741721854304636</v>
      </c>
      <c r="K68" s="20">
        <f t="shared" si="7"/>
        <v>23.294117647058822</v>
      </c>
      <c r="L68" s="21">
        <f t="shared" si="8"/>
        <v>5.108585858585859</v>
      </c>
      <c r="M68" s="7">
        <v>2023</v>
      </c>
      <c r="N68" s="7" t="str">
        <f t="shared" si="9"/>
        <v>September</v>
      </c>
      <c r="O68" s="8"/>
    </row>
    <row r="69" spans="1:15" x14ac:dyDescent="0.5">
      <c r="A69" s="22">
        <v>45568</v>
      </c>
      <c r="B69" s="7" t="s">
        <v>96</v>
      </c>
      <c r="C69" s="7" t="s">
        <v>55</v>
      </c>
      <c r="D69" s="7" t="s">
        <v>56</v>
      </c>
      <c r="E69" s="7">
        <v>15025</v>
      </c>
      <c r="F69" s="7">
        <v>936</v>
      </c>
      <c r="G69" s="7">
        <v>95</v>
      </c>
      <c r="H69" s="7">
        <v>306</v>
      </c>
      <c r="I69" s="18">
        <f t="shared" si="5"/>
        <v>6.2296173044925122E-2</v>
      </c>
      <c r="J69" s="19">
        <f t="shared" si="6"/>
        <v>0.32692307692307693</v>
      </c>
      <c r="K69" s="20">
        <f t="shared" si="7"/>
        <v>3.2210526315789472</v>
      </c>
      <c r="L69" s="21">
        <f t="shared" si="8"/>
        <v>26.078431372549019</v>
      </c>
      <c r="M69" s="7">
        <v>7980</v>
      </c>
      <c r="N69" s="7" t="str">
        <f t="shared" si="9"/>
        <v>October</v>
      </c>
      <c r="O69" s="8"/>
    </row>
    <row r="70" spans="1:15" x14ac:dyDescent="0.5">
      <c r="A70" s="22">
        <v>45599</v>
      </c>
      <c r="B70" s="7" t="s">
        <v>97</v>
      </c>
      <c r="C70" s="7" t="s">
        <v>52</v>
      </c>
      <c r="D70" s="7" t="s">
        <v>53</v>
      </c>
      <c r="E70" s="7">
        <v>27062</v>
      </c>
      <c r="F70" s="7">
        <v>1410</v>
      </c>
      <c r="G70" s="7">
        <v>61</v>
      </c>
      <c r="H70" s="7">
        <v>893</v>
      </c>
      <c r="I70" s="18">
        <f t="shared" si="5"/>
        <v>5.2102579262434411E-2</v>
      </c>
      <c r="J70" s="19">
        <f t="shared" si="6"/>
        <v>0.6333333333333333</v>
      </c>
      <c r="K70" s="20">
        <f t="shared" si="7"/>
        <v>14.639344262295081</v>
      </c>
      <c r="L70" s="21">
        <f t="shared" si="8"/>
        <v>6.5576707726763717</v>
      </c>
      <c r="M70" s="7">
        <v>5856</v>
      </c>
      <c r="N70" s="7" t="str">
        <f t="shared" si="9"/>
        <v>November</v>
      </c>
      <c r="O70" s="8"/>
    </row>
    <row r="71" spans="1:15" x14ac:dyDescent="0.5">
      <c r="A71" s="22">
        <v>45629</v>
      </c>
      <c r="B71" s="7" t="s">
        <v>98</v>
      </c>
      <c r="C71" s="7" t="s">
        <v>55</v>
      </c>
      <c r="D71" s="7" t="s">
        <v>56</v>
      </c>
      <c r="E71" s="7">
        <v>9776</v>
      </c>
      <c r="F71" s="7">
        <v>1825</v>
      </c>
      <c r="G71" s="7">
        <v>35</v>
      </c>
      <c r="H71" s="7">
        <v>1395</v>
      </c>
      <c r="I71" s="18">
        <f t="shared" si="5"/>
        <v>0.18668166939443534</v>
      </c>
      <c r="J71" s="19">
        <f t="shared" si="6"/>
        <v>0.76438356164383559</v>
      </c>
      <c r="K71" s="20">
        <f t="shared" si="7"/>
        <v>39.857142857142854</v>
      </c>
      <c r="L71" s="21">
        <f t="shared" si="8"/>
        <v>3.1111111111111112</v>
      </c>
      <c r="M71" s="7">
        <v>4340</v>
      </c>
      <c r="N71" s="7" t="str">
        <f t="shared" si="9"/>
        <v>December</v>
      </c>
      <c r="O71" s="8"/>
    </row>
    <row r="72" spans="1:15" x14ac:dyDescent="0.5">
      <c r="A72" s="22">
        <v>45295</v>
      </c>
      <c r="B72" s="7" t="s">
        <v>99</v>
      </c>
      <c r="C72" s="7" t="s">
        <v>55</v>
      </c>
      <c r="D72" s="7" t="s">
        <v>56</v>
      </c>
      <c r="E72" s="7">
        <v>28750</v>
      </c>
      <c r="F72" s="7">
        <v>1295</v>
      </c>
      <c r="G72" s="7">
        <v>39</v>
      </c>
      <c r="H72" s="7">
        <v>332</v>
      </c>
      <c r="I72" s="18">
        <f t="shared" si="5"/>
        <v>4.5043478260869567E-2</v>
      </c>
      <c r="J72" s="19">
        <f t="shared" si="6"/>
        <v>0.25637065637065637</v>
      </c>
      <c r="K72" s="20">
        <f t="shared" si="7"/>
        <v>8.5128205128205128</v>
      </c>
      <c r="L72" s="21">
        <f t="shared" si="8"/>
        <v>15.506024096385541</v>
      </c>
      <c r="M72" s="7">
        <v>5148</v>
      </c>
      <c r="N72" s="7" t="str">
        <f t="shared" si="9"/>
        <v>January</v>
      </c>
      <c r="O72" s="8"/>
    </row>
    <row r="73" spans="1:15" x14ac:dyDescent="0.5">
      <c r="A73" s="22">
        <v>45326</v>
      </c>
      <c r="B73" s="7" t="s">
        <v>100</v>
      </c>
      <c r="C73" s="7" t="s">
        <v>58</v>
      </c>
      <c r="D73" s="7" t="s">
        <v>17</v>
      </c>
      <c r="E73" s="7">
        <v>27922</v>
      </c>
      <c r="F73" s="7">
        <v>353</v>
      </c>
      <c r="G73" s="7">
        <v>95</v>
      </c>
      <c r="H73" s="7">
        <v>1289</v>
      </c>
      <c r="I73" s="18">
        <f t="shared" si="5"/>
        <v>1.2642360862402406E-2</v>
      </c>
      <c r="J73" s="19">
        <f t="shared" si="6"/>
        <v>3.6515580736543911</v>
      </c>
      <c r="K73" s="20">
        <f t="shared" si="7"/>
        <v>13.56842105263158</v>
      </c>
      <c r="L73" s="21">
        <f t="shared" si="8"/>
        <v>11.055081458494957</v>
      </c>
      <c r="M73" s="7">
        <v>14250</v>
      </c>
      <c r="N73" s="7" t="str">
        <f t="shared" si="9"/>
        <v>February</v>
      </c>
      <c r="O73" s="8"/>
    </row>
    <row r="74" spans="1:15" x14ac:dyDescent="0.5">
      <c r="A74" s="22">
        <v>45386</v>
      </c>
      <c r="B74" s="7" t="s">
        <v>101</v>
      </c>
      <c r="C74" s="7" t="s">
        <v>55</v>
      </c>
      <c r="D74" s="7" t="s">
        <v>56</v>
      </c>
      <c r="E74" s="7">
        <v>44542</v>
      </c>
      <c r="F74" s="7">
        <v>1447</v>
      </c>
      <c r="G74" s="7">
        <v>89</v>
      </c>
      <c r="H74" s="7">
        <v>1379</v>
      </c>
      <c r="I74" s="18">
        <f t="shared" si="5"/>
        <v>3.2486192806789098E-2</v>
      </c>
      <c r="J74" s="19">
        <f t="shared" si="6"/>
        <v>0.95300621976503108</v>
      </c>
      <c r="K74" s="20">
        <f t="shared" si="7"/>
        <v>15.49438202247191</v>
      </c>
      <c r="L74" s="21">
        <f t="shared" si="8"/>
        <v>9.5518491660623646</v>
      </c>
      <c r="M74" s="7">
        <v>13172</v>
      </c>
      <c r="N74" s="7" t="str">
        <f t="shared" si="9"/>
        <v>April</v>
      </c>
      <c r="O74" s="8"/>
    </row>
    <row r="75" spans="1:15" x14ac:dyDescent="0.5">
      <c r="A75" s="22">
        <v>45385</v>
      </c>
      <c r="B75" s="7" t="s">
        <v>102</v>
      </c>
      <c r="C75" s="7" t="s">
        <v>58</v>
      </c>
      <c r="D75" s="7" t="s">
        <v>17</v>
      </c>
      <c r="E75" s="7">
        <v>22499</v>
      </c>
      <c r="F75" s="7">
        <v>1919</v>
      </c>
      <c r="G75" s="7">
        <v>30</v>
      </c>
      <c r="H75" s="7">
        <v>783</v>
      </c>
      <c r="I75" s="18">
        <f t="shared" si="5"/>
        <v>8.5292679674652205E-2</v>
      </c>
      <c r="J75" s="19">
        <f t="shared" si="6"/>
        <v>0.40802501302761857</v>
      </c>
      <c r="K75" s="20">
        <f t="shared" si="7"/>
        <v>26.1</v>
      </c>
      <c r="L75" s="21">
        <f t="shared" si="8"/>
        <v>5.4789272030651341</v>
      </c>
      <c r="M75" s="7">
        <v>4290</v>
      </c>
      <c r="N75" s="7" t="str">
        <f t="shared" si="9"/>
        <v>April</v>
      </c>
      <c r="O75" s="8"/>
    </row>
    <row r="76" spans="1:15" x14ac:dyDescent="0.5">
      <c r="A76" s="22">
        <v>45446</v>
      </c>
      <c r="B76" s="7" t="s">
        <v>100</v>
      </c>
      <c r="C76" s="7" t="s">
        <v>58</v>
      </c>
      <c r="D76" s="7" t="s">
        <v>17</v>
      </c>
      <c r="E76" s="7">
        <v>44857</v>
      </c>
      <c r="F76" s="7">
        <v>1251</v>
      </c>
      <c r="G76" s="7">
        <v>72</v>
      </c>
      <c r="H76" s="7">
        <v>389</v>
      </c>
      <c r="I76" s="18">
        <f t="shared" si="5"/>
        <v>2.7888623849120539E-2</v>
      </c>
      <c r="J76" s="19">
        <f t="shared" si="6"/>
        <v>0.31095123900879296</v>
      </c>
      <c r="K76" s="20">
        <f t="shared" si="7"/>
        <v>5.4027777777777777</v>
      </c>
      <c r="L76" s="21">
        <f t="shared" si="8"/>
        <v>21.655526992287918</v>
      </c>
      <c r="M76" s="7">
        <v>8424</v>
      </c>
      <c r="N76" s="7" t="str">
        <f t="shared" si="9"/>
        <v>June</v>
      </c>
      <c r="O76" s="8"/>
    </row>
    <row r="77" spans="1:15" x14ac:dyDescent="0.5">
      <c r="A77" s="22">
        <v>45476</v>
      </c>
      <c r="B77" s="7" t="s">
        <v>103</v>
      </c>
      <c r="C77" s="7" t="s">
        <v>55</v>
      </c>
      <c r="D77" s="7" t="s">
        <v>56</v>
      </c>
      <c r="E77" s="7">
        <v>27000</v>
      </c>
      <c r="F77" s="7">
        <v>1363</v>
      </c>
      <c r="G77" s="7">
        <v>24</v>
      </c>
      <c r="H77" s="7">
        <v>729</v>
      </c>
      <c r="I77" s="18">
        <f t="shared" si="5"/>
        <v>5.0481481481481481E-2</v>
      </c>
      <c r="J77" s="19">
        <f t="shared" si="6"/>
        <v>0.53484959647835661</v>
      </c>
      <c r="K77" s="20">
        <f t="shared" si="7"/>
        <v>30.375</v>
      </c>
      <c r="L77" s="21">
        <f t="shared" si="8"/>
        <v>3.0288065843621399</v>
      </c>
      <c r="M77" s="7">
        <v>2208</v>
      </c>
      <c r="N77" s="7" t="str">
        <f t="shared" si="9"/>
        <v>July</v>
      </c>
      <c r="O77" s="8"/>
    </row>
    <row r="78" spans="1:15" x14ac:dyDescent="0.5">
      <c r="A78" s="22">
        <v>45507</v>
      </c>
      <c r="B78" s="7" t="s">
        <v>104</v>
      </c>
      <c r="C78" s="7" t="s">
        <v>58</v>
      </c>
      <c r="D78" s="7" t="s">
        <v>17</v>
      </c>
      <c r="E78" s="7">
        <v>28885</v>
      </c>
      <c r="F78" s="7">
        <v>788</v>
      </c>
      <c r="G78" s="7">
        <v>57</v>
      </c>
      <c r="H78" s="7">
        <v>1191</v>
      </c>
      <c r="I78" s="18">
        <f t="shared" si="5"/>
        <v>2.7280595464774106E-2</v>
      </c>
      <c r="J78" s="19">
        <f t="shared" si="6"/>
        <v>1.5114213197969544</v>
      </c>
      <c r="K78" s="20">
        <f t="shared" si="7"/>
        <v>20.894736842105264</v>
      </c>
      <c r="L78" s="21">
        <f t="shared" si="8"/>
        <v>6.6045340050377837</v>
      </c>
      <c r="M78" s="7">
        <v>7866</v>
      </c>
      <c r="N78" s="7" t="str">
        <f t="shared" si="9"/>
        <v>August</v>
      </c>
      <c r="O78" s="8"/>
    </row>
    <row r="79" spans="1:15" x14ac:dyDescent="0.5">
      <c r="A79" s="22">
        <v>45538</v>
      </c>
      <c r="B79" s="7" t="s">
        <v>105</v>
      </c>
      <c r="C79" s="7" t="s">
        <v>58</v>
      </c>
      <c r="D79" s="7" t="s">
        <v>17</v>
      </c>
      <c r="E79" s="7">
        <v>37170</v>
      </c>
      <c r="F79" s="7">
        <v>1192</v>
      </c>
      <c r="G79" s="7">
        <v>18</v>
      </c>
      <c r="H79" s="7">
        <v>1177</v>
      </c>
      <c r="I79" s="18">
        <f t="shared" si="5"/>
        <v>3.2068872746838846E-2</v>
      </c>
      <c r="J79" s="19">
        <f t="shared" si="6"/>
        <v>0.98741610738255037</v>
      </c>
      <c r="K79" s="20">
        <f t="shared" si="7"/>
        <v>65.388888888888886</v>
      </c>
      <c r="L79" s="21">
        <f t="shared" si="8"/>
        <v>1.4375531011045031</v>
      </c>
      <c r="M79" s="7">
        <v>1692</v>
      </c>
      <c r="N79" s="7" t="str">
        <f t="shared" si="9"/>
        <v>September</v>
      </c>
      <c r="O79" s="8"/>
    </row>
    <row r="80" spans="1:15" x14ac:dyDescent="0.5">
      <c r="A80" s="22">
        <v>45568</v>
      </c>
      <c r="B80" s="7" t="s">
        <v>106</v>
      </c>
      <c r="C80" s="7" t="s">
        <v>55</v>
      </c>
      <c r="D80" s="7" t="s">
        <v>56</v>
      </c>
      <c r="E80" s="7">
        <v>49022</v>
      </c>
      <c r="F80" s="7">
        <v>623</v>
      </c>
      <c r="G80" s="7">
        <v>100</v>
      </c>
      <c r="H80" s="7">
        <v>1143</v>
      </c>
      <c r="I80" s="18">
        <f t="shared" si="5"/>
        <v>1.270857982130472E-2</v>
      </c>
      <c r="J80" s="19">
        <f t="shared" si="6"/>
        <v>1.8346709470304976</v>
      </c>
      <c r="K80" s="20">
        <f t="shared" si="7"/>
        <v>11.43</v>
      </c>
      <c r="L80" s="21">
        <f t="shared" si="8"/>
        <v>6.5616797900262469</v>
      </c>
      <c r="M80" s="7">
        <v>7500</v>
      </c>
      <c r="N80" s="7" t="str">
        <f t="shared" si="9"/>
        <v>October</v>
      </c>
      <c r="O80" s="8"/>
    </row>
    <row r="81" spans="1:15" x14ac:dyDescent="0.5">
      <c r="A81" s="22">
        <v>45599</v>
      </c>
      <c r="B81" s="7" t="s">
        <v>107</v>
      </c>
      <c r="C81" s="7" t="s">
        <v>52</v>
      </c>
      <c r="D81" s="7" t="s">
        <v>53</v>
      </c>
      <c r="E81" s="7">
        <v>28651</v>
      </c>
      <c r="F81" s="7">
        <v>797</v>
      </c>
      <c r="G81" s="7">
        <v>95</v>
      </c>
      <c r="H81" s="7">
        <v>935</v>
      </c>
      <c r="I81" s="18">
        <f t="shared" si="5"/>
        <v>2.7817528184007539E-2</v>
      </c>
      <c r="J81" s="19">
        <f t="shared" si="6"/>
        <v>1.1731493099121706</v>
      </c>
      <c r="K81" s="20">
        <f t="shared" si="7"/>
        <v>9.8421052631578956</v>
      </c>
      <c r="L81" s="21">
        <f t="shared" si="8"/>
        <v>11.379679144385026</v>
      </c>
      <c r="M81" s="7">
        <v>10640</v>
      </c>
      <c r="N81" s="7" t="str">
        <f t="shared" si="9"/>
        <v>November</v>
      </c>
      <c r="O81" s="8"/>
    </row>
    <row r="82" spans="1:15" x14ac:dyDescent="0.5">
      <c r="A82" s="22">
        <v>45629</v>
      </c>
      <c r="B82" s="7" t="s">
        <v>61</v>
      </c>
      <c r="C82" s="7" t="s">
        <v>55</v>
      </c>
      <c r="D82" s="7" t="s">
        <v>56</v>
      </c>
      <c r="E82" s="7">
        <v>42889</v>
      </c>
      <c r="F82" s="7">
        <v>264</v>
      </c>
      <c r="G82" s="7">
        <v>62</v>
      </c>
      <c r="H82" s="7">
        <v>657</v>
      </c>
      <c r="I82" s="18">
        <f t="shared" si="5"/>
        <v>6.1554244678122599E-3</v>
      </c>
      <c r="J82" s="19">
        <f t="shared" si="6"/>
        <v>2.4886363636363638</v>
      </c>
      <c r="K82" s="20">
        <f t="shared" si="7"/>
        <v>10.596774193548388</v>
      </c>
      <c r="L82" s="21">
        <f t="shared" si="8"/>
        <v>9.4368340943683418</v>
      </c>
      <c r="M82" s="7">
        <v>6200</v>
      </c>
      <c r="N82" s="7" t="str">
        <f t="shared" si="9"/>
        <v>December</v>
      </c>
      <c r="O82" s="8"/>
    </row>
    <row r="83" spans="1:15" x14ac:dyDescent="0.5">
      <c r="A83" s="22">
        <v>45295</v>
      </c>
      <c r="B83" s="7" t="s">
        <v>108</v>
      </c>
      <c r="C83" s="7" t="s">
        <v>58</v>
      </c>
      <c r="D83" s="7" t="s">
        <v>17</v>
      </c>
      <c r="E83" s="7">
        <v>22057</v>
      </c>
      <c r="F83" s="7">
        <v>1967</v>
      </c>
      <c r="G83" s="7">
        <v>79</v>
      </c>
      <c r="H83" s="7">
        <v>1174</v>
      </c>
      <c r="I83" s="18">
        <f t="shared" si="5"/>
        <v>8.917803871786735E-2</v>
      </c>
      <c r="J83" s="19">
        <f t="shared" si="6"/>
        <v>0.59684799186578541</v>
      </c>
      <c r="K83" s="20">
        <f t="shared" si="7"/>
        <v>14.860759493670885</v>
      </c>
      <c r="L83" s="21">
        <f t="shared" si="8"/>
        <v>6.8637137989778534</v>
      </c>
      <c r="M83" s="7">
        <v>8058</v>
      </c>
      <c r="N83" s="7" t="str">
        <f t="shared" si="9"/>
        <v>January</v>
      </c>
      <c r="O83" s="8"/>
    </row>
    <row r="84" spans="1:15" x14ac:dyDescent="0.5">
      <c r="A84" s="22">
        <v>45326</v>
      </c>
      <c r="B84" s="7" t="s">
        <v>74</v>
      </c>
      <c r="C84" s="7" t="s">
        <v>58</v>
      </c>
      <c r="D84" s="7" t="s">
        <v>17</v>
      </c>
      <c r="E84" s="7">
        <v>49573</v>
      </c>
      <c r="F84" s="7">
        <v>1580</v>
      </c>
      <c r="G84" s="7">
        <v>71</v>
      </c>
      <c r="H84" s="7">
        <v>1485</v>
      </c>
      <c r="I84" s="18">
        <f t="shared" si="5"/>
        <v>3.1872188489702052E-2</v>
      </c>
      <c r="J84" s="19">
        <f t="shared" si="6"/>
        <v>0.939873417721519</v>
      </c>
      <c r="K84" s="20">
        <f t="shared" si="7"/>
        <v>20.91549295774648</v>
      </c>
      <c r="L84" s="21">
        <f t="shared" si="8"/>
        <v>6.8848484848484848</v>
      </c>
      <c r="M84" s="7">
        <v>10224</v>
      </c>
      <c r="N84" s="7" t="str">
        <f t="shared" si="9"/>
        <v>February</v>
      </c>
      <c r="O84" s="8"/>
    </row>
    <row r="85" spans="1:15" x14ac:dyDescent="0.5">
      <c r="A85" s="22">
        <v>45386</v>
      </c>
      <c r="B85" s="7" t="s">
        <v>75</v>
      </c>
      <c r="C85" s="7" t="s">
        <v>58</v>
      </c>
      <c r="D85" s="7" t="s">
        <v>17</v>
      </c>
      <c r="E85" s="7">
        <v>47917</v>
      </c>
      <c r="F85" s="7">
        <v>1303</v>
      </c>
      <c r="G85" s="7">
        <v>98</v>
      </c>
      <c r="H85" s="7">
        <v>832</v>
      </c>
      <c r="I85" s="18">
        <f t="shared" si="5"/>
        <v>2.7192854310578708E-2</v>
      </c>
      <c r="J85" s="19">
        <f t="shared" si="6"/>
        <v>0.63852647735993862</v>
      </c>
      <c r="K85" s="20">
        <f t="shared" si="7"/>
        <v>8.4897959183673475</v>
      </c>
      <c r="L85" s="21">
        <f t="shared" si="8"/>
        <v>12.95673076923077</v>
      </c>
      <c r="M85" s="7">
        <v>10780</v>
      </c>
      <c r="N85" s="7" t="str">
        <f t="shared" si="9"/>
        <v>April</v>
      </c>
      <c r="O85" s="8"/>
    </row>
    <row r="86" spans="1:15" x14ac:dyDescent="0.5">
      <c r="A86" s="22">
        <v>45447</v>
      </c>
      <c r="B86" s="7" t="s">
        <v>109</v>
      </c>
      <c r="C86" s="7" t="s">
        <v>52</v>
      </c>
      <c r="D86" s="7" t="s">
        <v>53</v>
      </c>
      <c r="E86" s="7">
        <v>38711</v>
      </c>
      <c r="F86" s="7">
        <v>1303</v>
      </c>
      <c r="G86" s="7">
        <v>96</v>
      </c>
      <c r="H86" s="7">
        <v>521</v>
      </c>
      <c r="I86" s="18">
        <f t="shared" si="5"/>
        <v>3.3659683294154114E-2</v>
      </c>
      <c r="J86" s="19">
        <f t="shared" si="6"/>
        <v>0.39984650805832694</v>
      </c>
      <c r="K86" s="20">
        <f t="shared" si="7"/>
        <v>5.427083333333333</v>
      </c>
      <c r="L86" s="21">
        <f t="shared" si="8"/>
        <v>20.637236084452976</v>
      </c>
      <c r="M86" s="7">
        <v>10752</v>
      </c>
      <c r="N86" s="7" t="str">
        <f t="shared" si="9"/>
        <v>June</v>
      </c>
      <c r="O86" s="8"/>
    </row>
    <row r="87" spans="1:15" x14ac:dyDescent="0.5">
      <c r="A87" s="22">
        <v>45477</v>
      </c>
      <c r="B87" s="7" t="s">
        <v>81</v>
      </c>
      <c r="C87" s="7" t="s">
        <v>58</v>
      </c>
      <c r="D87" s="7" t="s">
        <v>17</v>
      </c>
      <c r="E87" s="7">
        <v>40898</v>
      </c>
      <c r="F87" s="7">
        <v>214</v>
      </c>
      <c r="G87" s="7">
        <v>56</v>
      </c>
      <c r="H87" s="7">
        <v>1009</v>
      </c>
      <c r="I87" s="18">
        <f t="shared" si="5"/>
        <v>5.2325297080541835E-3</v>
      </c>
      <c r="J87" s="19">
        <f t="shared" si="6"/>
        <v>4.7149532710280377</v>
      </c>
      <c r="K87" s="20">
        <f t="shared" si="7"/>
        <v>18.017857142857142</v>
      </c>
      <c r="L87" s="21">
        <f t="shared" si="8"/>
        <v>7.6035678889990086</v>
      </c>
      <c r="M87" s="7">
        <v>7672</v>
      </c>
      <c r="N87" s="7" t="str">
        <f t="shared" si="9"/>
        <v>July</v>
      </c>
      <c r="O87" s="8"/>
    </row>
    <row r="88" spans="1:15" x14ac:dyDescent="0.5">
      <c r="A88" s="22">
        <v>45508</v>
      </c>
      <c r="B88" s="7" t="s">
        <v>81</v>
      </c>
      <c r="C88" s="7" t="s">
        <v>58</v>
      </c>
      <c r="D88" s="7" t="s">
        <v>17</v>
      </c>
      <c r="E88" s="7">
        <v>47281</v>
      </c>
      <c r="F88" s="7">
        <v>910</v>
      </c>
      <c r="G88" s="7">
        <v>31</v>
      </c>
      <c r="H88" s="7">
        <v>202</v>
      </c>
      <c r="I88" s="18">
        <f t="shared" si="5"/>
        <v>1.92466318394281E-2</v>
      </c>
      <c r="J88" s="19">
        <f t="shared" si="6"/>
        <v>0.22197802197802197</v>
      </c>
      <c r="K88" s="20">
        <f t="shared" si="7"/>
        <v>6.5161290322580649</v>
      </c>
      <c r="L88" s="21">
        <f t="shared" si="8"/>
        <v>13.965346534653465</v>
      </c>
      <c r="M88" s="7">
        <v>2821</v>
      </c>
      <c r="N88" s="7" t="str">
        <f t="shared" si="9"/>
        <v>August</v>
      </c>
      <c r="O88" s="8"/>
    </row>
    <row r="89" spans="1:15" x14ac:dyDescent="0.5">
      <c r="A89" s="22">
        <v>45569</v>
      </c>
      <c r="B89" s="7" t="s">
        <v>75</v>
      </c>
      <c r="C89" s="7" t="s">
        <v>58</v>
      </c>
      <c r="D89" s="7" t="s">
        <v>17</v>
      </c>
      <c r="E89" s="7">
        <v>32860</v>
      </c>
      <c r="F89" s="7">
        <v>1245</v>
      </c>
      <c r="G89" s="7">
        <v>84</v>
      </c>
      <c r="H89" s="7">
        <v>562</v>
      </c>
      <c r="I89" s="18">
        <f t="shared" si="5"/>
        <v>3.7888009738283629E-2</v>
      </c>
      <c r="J89" s="19">
        <f t="shared" si="6"/>
        <v>0.45140562248995986</v>
      </c>
      <c r="K89" s="20">
        <f t="shared" si="7"/>
        <v>6.6904761904761907</v>
      </c>
      <c r="L89" s="21">
        <f t="shared" si="8"/>
        <v>20.028469750889681</v>
      </c>
      <c r="M89" s="7">
        <v>11256</v>
      </c>
      <c r="N89" s="7" t="str">
        <f t="shared" si="9"/>
        <v>October</v>
      </c>
      <c r="O89" s="8"/>
    </row>
    <row r="90" spans="1:15" x14ac:dyDescent="0.5">
      <c r="A90" s="22">
        <v>45600</v>
      </c>
      <c r="B90" s="7" t="s">
        <v>103</v>
      </c>
      <c r="C90" s="7" t="s">
        <v>58</v>
      </c>
      <c r="D90" s="7" t="s">
        <v>17</v>
      </c>
      <c r="E90" s="7">
        <v>32988</v>
      </c>
      <c r="F90" s="7">
        <v>1632</v>
      </c>
      <c r="G90" s="7">
        <v>20</v>
      </c>
      <c r="H90" s="7">
        <v>932</v>
      </c>
      <c r="I90" s="18">
        <f t="shared" si="5"/>
        <v>4.9472535467442708E-2</v>
      </c>
      <c r="J90" s="19">
        <f t="shared" si="6"/>
        <v>0.57107843137254899</v>
      </c>
      <c r="K90" s="20">
        <f t="shared" si="7"/>
        <v>46.6</v>
      </c>
      <c r="L90" s="21">
        <f t="shared" si="8"/>
        <v>2.2317596566523603</v>
      </c>
      <c r="M90" s="7">
        <v>2080</v>
      </c>
      <c r="N90" s="7" t="str">
        <f t="shared" si="9"/>
        <v>November</v>
      </c>
      <c r="O90" s="8"/>
    </row>
    <row r="91" spans="1:15" x14ac:dyDescent="0.5">
      <c r="A91" s="22">
        <v>45296</v>
      </c>
      <c r="B91" s="7" t="s">
        <v>98</v>
      </c>
      <c r="C91" s="7" t="s">
        <v>58</v>
      </c>
      <c r="D91" s="7" t="s">
        <v>17</v>
      </c>
      <c r="E91" s="7">
        <v>27186</v>
      </c>
      <c r="F91" s="7">
        <v>746</v>
      </c>
      <c r="G91" s="7">
        <v>47</v>
      </c>
      <c r="H91" s="7">
        <v>573</v>
      </c>
      <c r="I91" s="18">
        <f t="shared" si="5"/>
        <v>2.7440594423600383E-2</v>
      </c>
      <c r="J91" s="19">
        <f t="shared" si="6"/>
        <v>0.76809651474530827</v>
      </c>
      <c r="K91" s="20">
        <f t="shared" si="7"/>
        <v>12.191489361702128</v>
      </c>
      <c r="L91" s="21">
        <f t="shared" si="8"/>
        <v>9.6788830715532281</v>
      </c>
      <c r="M91" s="7">
        <v>5546</v>
      </c>
      <c r="N91" s="7" t="str">
        <f t="shared" si="9"/>
        <v>January</v>
      </c>
      <c r="O91" s="8"/>
    </row>
    <row r="92" spans="1:15" x14ac:dyDescent="0.5">
      <c r="A92" s="22">
        <v>45327</v>
      </c>
      <c r="B92" s="7" t="s">
        <v>82</v>
      </c>
      <c r="C92" s="7" t="s">
        <v>58</v>
      </c>
      <c r="D92" s="7" t="s">
        <v>17</v>
      </c>
      <c r="E92" s="7">
        <v>32821</v>
      </c>
      <c r="F92" s="7">
        <v>1643</v>
      </c>
      <c r="G92" s="7">
        <v>65</v>
      </c>
      <c r="H92" s="7">
        <v>289</v>
      </c>
      <c r="I92" s="18">
        <f t="shared" si="5"/>
        <v>5.0059413180585599E-2</v>
      </c>
      <c r="J92" s="19">
        <f t="shared" si="6"/>
        <v>0.17589774802191113</v>
      </c>
      <c r="K92" s="20">
        <f t="shared" si="7"/>
        <v>4.4461538461538463</v>
      </c>
      <c r="L92" s="21">
        <f t="shared" si="8"/>
        <v>19.792387543252595</v>
      </c>
      <c r="M92" s="7">
        <v>5720</v>
      </c>
      <c r="N92" s="7" t="str">
        <f t="shared" si="9"/>
        <v>February</v>
      </c>
      <c r="O92" s="8"/>
    </row>
    <row r="93" spans="1:15" x14ac:dyDescent="0.5">
      <c r="A93" s="22">
        <v>45356</v>
      </c>
      <c r="B93" s="7" t="s">
        <v>90</v>
      </c>
      <c r="C93" s="7" t="s">
        <v>58</v>
      </c>
      <c r="D93" s="7" t="s">
        <v>17</v>
      </c>
      <c r="E93" s="7">
        <v>48269</v>
      </c>
      <c r="F93" s="7">
        <v>1529</v>
      </c>
      <c r="G93" s="7">
        <v>77</v>
      </c>
      <c r="H93" s="7">
        <v>1233</v>
      </c>
      <c r="I93" s="18">
        <f t="shared" si="5"/>
        <v>3.1676645466034103E-2</v>
      </c>
      <c r="J93" s="19">
        <f t="shared" si="6"/>
        <v>0.80640941792020926</v>
      </c>
      <c r="K93" s="20">
        <f t="shared" si="7"/>
        <v>16.012987012987011</v>
      </c>
      <c r="L93" s="21">
        <f t="shared" si="8"/>
        <v>6.0575831305758312</v>
      </c>
      <c r="M93" s="7">
        <v>7469</v>
      </c>
      <c r="N93" s="7" t="str">
        <f t="shared" si="9"/>
        <v>March</v>
      </c>
      <c r="O93" s="8"/>
    </row>
    <row r="94" spans="1:15" x14ac:dyDescent="0.5">
      <c r="A94" s="22">
        <v>45417</v>
      </c>
      <c r="B94" s="7" t="s">
        <v>96</v>
      </c>
      <c r="C94" s="7" t="s">
        <v>58</v>
      </c>
      <c r="D94" s="7" t="s">
        <v>17</v>
      </c>
      <c r="E94" s="7">
        <v>45597</v>
      </c>
      <c r="F94" s="7">
        <v>1812</v>
      </c>
      <c r="G94" s="7">
        <v>70</v>
      </c>
      <c r="H94" s="7">
        <v>335</v>
      </c>
      <c r="I94" s="18">
        <f t="shared" si="5"/>
        <v>3.9739456543193628E-2</v>
      </c>
      <c r="J94" s="19">
        <f t="shared" si="6"/>
        <v>0.18487858719646799</v>
      </c>
      <c r="K94" s="20">
        <f t="shared" si="7"/>
        <v>4.7857142857142856</v>
      </c>
      <c r="L94" s="21">
        <f t="shared" si="8"/>
        <v>31.134328358208954</v>
      </c>
      <c r="M94" s="7">
        <v>10430</v>
      </c>
      <c r="N94" s="7" t="str">
        <f t="shared" si="9"/>
        <v>May</v>
      </c>
      <c r="O94" s="8"/>
    </row>
    <row r="95" spans="1:15" x14ac:dyDescent="0.5">
      <c r="A95" s="22">
        <v>45448</v>
      </c>
      <c r="B95" s="7" t="s">
        <v>98</v>
      </c>
      <c r="C95" s="7" t="s">
        <v>55</v>
      </c>
      <c r="D95" s="7" t="s">
        <v>56</v>
      </c>
      <c r="E95" s="7">
        <v>43084</v>
      </c>
      <c r="F95" s="7">
        <v>1482</v>
      </c>
      <c r="G95" s="7">
        <v>93</v>
      </c>
      <c r="H95" s="7">
        <v>1385</v>
      </c>
      <c r="I95" s="18">
        <f t="shared" si="5"/>
        <v>3.4397920341658159E-2</v>
      </c>
      <c r="J95" s="19">
        <f t="shared" si="6"/>
        <v>0.93454790823211875</v>
      </c>
      <c r="K95" s="20">
        <f t="shared" si="7"/>
        <v>14.89247311827957</v>
      </c>
      <c r="L95" s="21">
        <f t="shared" si="8"/>
        <v>6.1104693140794222</v>
      </c>
      <c r="M95" s="7">
        <v>8463</v>
      </c>
      <c r="N95" s="7" t="str">
        <f t="shared" si="9"/>
        <v>June</v>
      </c>
      <c r="O95" s="8"/>
    </row>
    <row r="96" spans="1:15" x14ac:dyDescent="0.5">
      <c r="A96" s="22">
        <v>45478</v>
      </c>
      <c r="B96" s="7" t="s">
        <v>110</v>
      </c>
      <c r="C96" s="7" t="s">
        <v>55</v>
      </c>
      <c r="D96" s="7" t="s">
        <v>56</v>
      </c>
      <c r="E96" s="7">
        <v>22790</v>
      </c>
      <c r="F96" s="7">
        <v>1590</v>
      </c>
      <c r="G96" s="7">
        <v>63</v>
      </c>
      <c r="H96" s="7">
        <v>768</v>
      </c>
      <c r="I96" s="18">
        <f t="shared" si="5"/>
        <v>6.9767441860465115E-2</v>
      </c>
      <c r="J96" s="19">
        <f t="shared" si="6"/>
        <v>0.48301886792452831</v>
      </c>
      <c r="K96" s="20">
        <f t="shared" si="7"/>
        <v>12.19047619047619</v>
      </c>
      <c r="L96" s="21">
        <f t="shared" si="8"/>
        <v>6.3984375</v>
      </c>
      <c r="M96" s="7">
        <v>4914</v>
      </c>
      <c r="N96" s="7" t="str">
        <f t="shared" si="9"/>
        <v>July</v>
      </c>
      <c r="O96" s="8"/>
    </row>
    <row r="97" spans="1:15" x14ac:dyDescent="0.5">
      <c r="A97" s="22">
        <v>45356</v>
      </c>
      <c r="B97" s="7" t="s">
        <v>111</v>
      </c>
      <c r="C97" s="7" t="s">
        <v>55</v>
      </c>
      <c r="D97" s="7" t="s">
        <v>56</v>
      </c>
      <c r="E97" s="7">
        <v>45553</v>
      </c>
      <c r="F97" s="7">
        <v>1802</v>
      </c>
      <c r="G97" s="7">
        <v>88</v>
      </c>
      <c r="H97" s="7">
        <v>465</v>
      </c>
      <c r="I97" s="18">
        <f t="shared" si="5"/>
        <v>3.9558316686057998E-2</v>
      </c>
      <c r="J97" s="19">
        <f t="shared" si="6"/>
        <v>0.25804661487236402</v>
      </c>
      <c r="K97" s="20">
        <f t="shared" si="7"/>
        <v>5.2840909090909092</v>
      </c>
      <c r="L97" s="21">
        <f t="shared" si="8"/>
        <v>20.249462365591398</v>
      </c>
      <c r="M97" s="7">
        <v>9416</v>
      </c>
      <c r="N97" s="7" t="str">
        <f t="shared" si="9"/>
        <v>March</v>
      </c>
      <c r="O97" s="8"/>
    </row>
    <row r="98" spans="1:15" x14ac:dyDescent="0.5">
      <c r="A98" s="22">
        <v>45295</v>
      </c>
      <c r="B98" s="7" t="s">
        <v>63</v>
      </c>
      <c r="C98" s="7" t="s">
        <v>58</v>
      </c>
      <c r="D98" s="7" t="s">
        <v>17</v>
      </c>
      <c r="E98" s="7">
        <v>37154</v>
      </c>
      <c r="F98" s="7">
        <v>926</v>
      </c>
      <c r="G98" s="7">
        <v>58</v>
      </c>
      <c r="H98" s="7">
        <v>1178</v>
      </c>
      <c r="I98" s="18">
        <f t="shared" si="5"/>
        <v>2.4923292243096303E-2</v>
      </c>
      <c r="J98" s="19">
        <f t="shared" si="6"/>
        <v>1.2721382289416847</v>
      </c>
      <c r="K98" s="20">
        <f t="shared" si="7"/>
        <v>20.310344827586206</v>
      </c>
      <c r="L98" s="21">
        <f t="shared" si="8"/>
        <v>4.9728353140916806</v>
      </c>
      <c r="M98" s="7">
        <v>5858</v>
      </c>
      <c r="N98" s="7" t="str">
        <f t="shared" si="9"/>
        <v>January</v>
      </c>
      <c r="O98" s="8"/>
    </row>
    <row r="99" spans="1:15" x14ac:dyDescent="0.5">
      <c r="A99" s="22">
        <v>45326</v>
      </c>
      <c r="B99" s="7" t="s">
        <v>63</v>
      </c>
      <c r="C99" s="7" t="s">
        <v>58</v>
      </c>
      <c r="D99" s="7" t="s">
        <v>17</v>
      </c>
      <c r="E99" s="7">
        <v>24117</v>
      </c>
      <c r="F99" s="7">
        <v>1220</v>
      </c>
      <c r="G99" s="7">
        <v>26</v>
      </c>
      <c r="H99" s="7">
        <v>937</v>
      </c>
      <c r="I99" s="18">
        <f t="shared" si="5"/>
        <v>5.0586723058423516E-2</v>
      </c>
      <c r="J99" s="19">
        <f t="shared" si="6"/>
        <v>0.7680327868852459</v>
      </c>
      <c r="K99" s="20">
        <f t="shared" si="7"/>
        <v>36.03846153846154</v>
      </c>
      <c r="L99" s="21">
        <f t="shared" si="8"/>
        <v>3.0245464247598721</v>
      </c>
      <c r="M99" s="7">
        <v>2834</v>
      </c>
      <c r="N99" s="7" t="str">
        <f t="shared" si="9"/>
        <v>February</v>
      </c>
      <c r="O99" s="8"/>
    </row>
    <row r="100" spans="1:15" x14ac:dyDescent="0.5">
      <c r="A100" s="22">
        <v>45386</v>
      </c>
      <c r="B100" s="7" t="s">
        <v>71</v>
      </c>
      <c r="C100" s="7" t="s">
        <v>58</v>
      </c>
      <c r="D100" s="7" t="s">
        <v>17</v>
      </c>
      <c r="E100" s="7">
        <v>18438</v>
      </c>
      <c r="F100" s="7">
        <v>1763</v>
      </c>
      <c r="G100" s="7">
        <v>97</v>
      </c>
      <c r="H100" s="7">
        <v>1111</v>
      </c>
      <c r="I100" s="18">
        <f t="shared" si="5"/>
        <v>9.5617745959431608E-2</v>
      </c>
      <c r="J100" s="19">
        <f t="shared" si="6"/>
        <v>0.63017583664208732</v>
      </c>
      <c r="K100" s="20">
        <f t="shared" si="7"/>
        <v>11.453608247422681</v>
      </c>
      <c r="L100" s="21">
        <f t="shared" si="8"/>
        <v>11.961296129612961</v>
      </c>
      <c r="M100" s="7">
        <v>13289</v>
      </c>
      <c r="N100" s="7" t="str">
        <f t="shared" si="9"/>
        <v>April</v>
      </c>
      <c r="O100" s="8"/>
    </row>
    <row r="101" spans="1:15" x14ac:dyDescent="0.5">
      <c r="A101" s="22">
        <v>45447</v>
      </c>
      <c r="B101" s="7" t="s">
        <v>112</v>
      </c>
      <c r="C101" s="7" t="s">
        <v>55</v>
      </c>
      <c r="D101" s="7" t="s">
        <v>56</v>
      </c>
      <c r="E101" s="7">
        <v>16245</v>
      </c>
      <c r="F101" s="7">
        <v>1114</v>
      </c>
      <c r="G101" s="7">
        <v>51</v>
      </c>
      <c r="H101" s="7">
        <v>693</v>
      </c>
      <c r="I101" s="18">
        <f t="shared" si="5"/>
        <v>6.857494613727301E-2</v>
      </c>
      <c r="J101" s="19">
        <f t="shared" si="6"/>
        <v>0.62208258527827653</v>
      </c>
      <c r="K101" s="20">
        <f t="shared" si="7"/>
        <v>13.588235294117647</v>
      </c>
      <c r="L101" s="21">
        <f t="shared" si="8"/>
        <v>7.8008658008658012</v>
      </c>
      <c r="M101" s="7">
        <v>5406</v>
      </c>
      <c r="N101" s="7" t="str">
        <f t="shared" si="9"/>
        <v>June</v>
      </c>
      <c r="O101" s="8"/>
    </row>
    <row r="102" spans="1:15" x14ac:dyDescent="0.5">
      <c r="A102" s="22">
        <v>45477</v>
      </c>
      <c r="B102" s="7" t="s">
        <v>113</v>
      </c>
      <c r="C102" s="7" t="s">
        <v>58</v>
      </c>
      <c r="D102" s="7" t="s">
        <v>17</v>
      </c>
      <c r="E102" s="7">
        <v>38334</v>
      </c>
      <c r="F102" s="7">
        <v>632</v>
      </c>
      <c r="G102" s="7">
        <v>44</v>
      </c>
      <c r="H102" s="7">
        <v>537</v>
      </c>
      <c r="I102" s="18">
        <f t="shared" si="5"/>
        <v>1.6486669797047007E-2</v>
      </c>
      <c r="J102" s="19">
        <f t="shared" si="6"/>
        <v>0.84968354430379744</v>
      </c>
      <c r="K102" s="20">
        <f t="shared" si="7"/>
        <v>12.204545454545455</v>
      </c>
      <c r="L102" s="21">
        <f t="shared" si="8"/>
        <v>9.094972067039107</v>
      </c>
      <c r="M102" s="7">
        <v>4884</v>
      </c>
      <c r="N102" s="7" t="str">
        <f t="shared" si="9"/>
        <v>July</v>
      </c>
      <c r="O102" s="8"/>
    </row>
    <row r="103" spans="1:15" x14ac:dyDescent="0.5">
      <c r="A103" s="22">
        <v>45508</v>
      </c>
      <c r="B103" s="7" t="s">
        <v>114</v>
      </c>
      <c r="C103" s="7" t="s">
        <v>58</v>
      </c>
      <c r="D103" s="7" t="s">
        <v>17</v>
      </c>
      <c r="E103" s="7">
        <v>35237</v>
      </c>
      <c r="F103" s="7">
        <v>1956</v>
      </c>
      <c r="G103" s="7">
        <v>51</v>
      </c>
      <c r="H103" s="7">
        <v>760</v>
      </c>
      <c r="I103" s="18">
        <f t="shared" si="5"/>
        <v>5.5509833413741237E-2</v>
      </c>
      <c r="J103" s="19">
        <f t="shared" si="6"/>
        <v>0.3885480572597137</v>
      </c>
      <c r="K103" s="20">
        <f t="shared" si="7"/>
        <v>14.901960784313726</v>
      </c>
      <c r="L103" s="21">
        <f t="shared" si="8"/>
        <v>6.1736842105263161</v>
      </c>
      <c r="M103" s="7">
        <v>4692</v>
      </c>
      <c r="N103" s="7" t="str">
        <f t="shared" si="9"/>
        <v>August</v>
      </c>
      <c r="O103" s="8"/>
    </row>
    <row r="104" spans="1:15" x14ac:dyDescent="0.5">
      <c r="A104" s="22">
        <v>45569</v>
      </c>
      <c r="B104" s="7" t="s">
        <v>115</v>
      </c>
      <c r="C104" s="7" t="s">
        <v>55</v>
      </c>
      <c r="D104" s="7" t="s">
        <v>56</v>
      </c>
      <c r="E104" s="7">
        <v>37487</v>
      </c>
      <c r="F104" s="7">
        <v>1506</v>
      </c>
      <c r="G104" s="7">
        <v>87</v>
      </c>
      <c r="H104" s="7">
        <v>298</v>
      </c>
      <c r="I104" s="18">
        <f t="shared" si="5"/>
        <v>4.0173926961346598E-2</v>
      </c>
      <c r="J104" s="19">
        <f t="shared" si="6"/>
        <v>0.19787516600265603</v>
      </c>
      <c r="K104" s="20">
        <f t="shared" si="7"/>
        <v>3.4252873563218391</v>
      </c>
      <c r="L104" s="21">
        <f t="shared" si="8"/>
        <v>37.369127516778526</v>
      </c>
      <c r="M104" s="7">
        <v>11136</v>
      </c>
      <c r="N104" s="7" t="str">
        <f t="shared" si="9"/>
        <v>October</v>
      </c>
      <c r="O104" s="8"/>
    </row>
    <row r="105" spans="1:15" x14ac:dyDescent="0.5">
      <c r="A105" s="22">
        <v>45600</v>
      </c>
      <c r="B105" s="7" t="s">
        <v>62</v>
      </c>
      <c r="C105" s="7" t="s">
        <v>55</v>
      </c>
      <c r="D105" s="7" t="s">
        <v>56</v>
      </c>
      <c r="E105" s="7">
        <v>41791</v>
      </c>
      <c r="F105" s="7">
        <v>533</v>
      </c>
      <c r="G105" s="7">
        <v>73</v>
      </c>
      <c r="H105" s="7">
        <v>238</v>
      </c>
      <c r="I105" s="18">
        <f t="shared" si="5"/>
        <v>1.2753942236366682E-2</v>
      </c>
      <c r="J105" s="19">
        <f t="shared" si="6"/>
        <v>0.44652908067542213</v>
      </c>
      <c r="K105" s="20">
        <f t="shared" si="7"/>
        <v>3.2602739726027399</v>
      </c>
      <c r="L105" s="21">
        <f t="shared" si="8"/>
        <v>32.819327731092436</v>
      </c>
      <c r="M105" s="7">
        <v>7811</v>
      </c>
      <c r="N105" s="7" t="str">
        <f t="shared" si="9"/>
        <v>November</v>
      </c>
      <c r="O105" s="8"/>
    </row>
    <row r="106" spans="1:15" x14ac:dyDescent="0.5">
      <c r="A106" s="22">
        <v>45296</v>
      </c>
      <c r="B106" s="7" t="s">
        <v>116</v>
      </c>
      <c r="C106" s="7" t="s">
        <v>52</v>
      </c>
      <c r="D106" s="7" t="s">
        <v>53</v>
      </c>
      <c r="E106" s="7">
        <v>49373</v>
      </c>
      <c r="F106" s="7">
        <v>1103</v>
      </c>
      <c r="G106" s="7">
        <v>81</v>
      </c>
      <c r="H106" s="7">
        <v>1387</v>
      </c>
      <c r="I106" s="18">
        <f t="shared" si="5"/>
        <v>2.2340145423612096E-2</v>
      </c>
      <c r="J106" s="19">
        <f t="shared" si="6"/>
        <v>1.2574796010879419</v>
      </c>
      <c r="K106" s="20">
        <f t="shared" si="7"/>
        <v>17.123456790123456</v>
      </c>
      <c r="L106" s="21">
        <f t="shared" si="8"/>
        <v>8.1759192501802449</v>
      </c>
      <c r="M106" s="7">
        <v>11340</v>
      </c>
      <c r="N106" s="7" t="str">
        <f t="shared" si="9"/>
        <v>January</v>
      </c>
      <c r="O106" s="8"/>
    </row>
    <row r="107" spans="1:15" x14ac:dyDescent="0.5">
      <c r="A107" s="22">
        <v>45327</v>
      </c>
      <c r="B107" s="7" t="s">
        <v>117</v>
      </c>
      <c r="C107" s="7" t="s">
        <v>58</v>
      </c>
      <c r="D107" s="7" t="s">
        <v>17</v>
      </c>
      <c r="E107" s="7">
        <v>25480</v>
      </c>
      <c r="F107" s="7">
        <v>718</v>
      </c>
      <c r="G107" s="7">
        <v>27</v>
      </c>
      <c r="H107" s="7">
        <v>1215</v>
      </c>
      <c r="I107" s="18">
        <f t="shared" si="5"/>
        <v>2.8178963893249608E-2</v>
      </c>
      <c r="J107" s="19">
        <f t="shared" si="6"/>
        <v>1.6922005571030641</v>
      </c>
      <c r="K107" s="20">
        <f t="shared" si="7"/>
        <v>45</v>
      </c>
      <c r="L107" s="21">
        <f t="shared" si="8"/>
        <v>2.9333333333333331</v>
      </c>
      <c r="M107" s="7">
        <v>3564</v>
      </c>
      <c r="N107" s="7" t="str">
        <f t="shared" si="9"/>
        <v>February</v>
      </c>
      <c r="O107" s="8"/>
    </row>
    <row r="108" spans="1:15" x14ac:dyDescent="0.5">
      <c r="A108" s="22">
        <v>45356</v>
      </c>
      <c r="B108" s="7" t="s">
        <v>118</v>
      </c>
      <c r="C108" s="7" t="s">
        <v>55</v>
      </c>
      <c r="D108" s="7" t="s">
        <v>56</v>
      </c>
      <c r="E108" s="7">
        <v>19314</v>
      </c>
      <c r="F108" s="7">
        <v>1680</v>
      </c>
      <c r="G108" s="7">
        <v>88</v>
      </c>
      <c r="H108" s="7">
        <v>1193</v>
      </c>
      <c r="I108" s="18">
        <f t="shared" si="5"/>
        <v>8.6983535259397324E-2</v>
      </c>
      <c r="J108" s="19">
        <f t="shared" si="6"/>
        <v>0.71011904761904765</v>
      </c>
      <c r="K108" s="20">
        <f t="shared" si="7"/>
        <v>13.556818181818182</v>
      </c>
      <c r="L108" s="21">
        <f t="shared" si="8"/>
        <v>9.2204526404023479</v>
      </c>
      <c r="M108" s="7">
        <v>11000</v>
      </c>
      <c r="N108" s="7" t="str">
        <f t="shared" si="9"/>
        <v>March</v>
      </c>
      <c r="O108" s="8"/>
    </row>
    <row r="109" spans="1:15" x14ac:dyDescent="0.5">
      <c r="A109" s="22">
        <v>45417</v>
      </c>
      <c r="B109" s="7" t="s">
        <v>111</v>
      </c>
      <c r="C109" s="7" t="s">
        <v>58</v>
      </c>
      <c r="D109" s="7" t="s">
        <v>17</v>
      </c>
      <c r="E109" s="7">
        <v>18125</v>
      </c>
      <c r="F109" s="7">
        <v>1952</v>
      </c>
      <c r="G109" s="7">
        <v>18</v>
      </c>
      <c r="H109" s="7">
        <v>1201</v>
      </c>
      <c r="I109" s="18">
        <f t="shared" si="5"/>
        <v>0.10769655172413793</v>
      </c>
      <c r="J109" s="19">
        <f t="shared" si="6"/>
        <v>0.61526639344262291</v>
      </c>
      <c r="K109" s="20">
        <f t="shared" si="7"/>
        <v>66.722222222222229</v>
      </c>
      <c r="L109" s="21">
        <f t="shared" si="8"/>
        <v>1.4687760199833473</v>
      </c>
      <c r="M109" s="7">
        <v>1764</v>
      </c>
      <c r="N109" s="7" t="str">
        <f t="shared" si="9"/>
        <v>May</v>
      </c>
      <c r="O109" s="8"/>
    </row>
    <row r="110" spans="1:15" x14ac:dyDescent="0.5">
      <c r="A110" s="22">
        <v>45448</v>
      </c>
      <c r="B110" s="7" t="s">
        <v>119</v>
      </c>
      <c r="C110" s="7" t="s">
        <v>52</v>
      </c>
      <c r="D110" s="7" t="s">
        <v>53</v>
      </c>
      <c r="E110" s="7">
        <v>44479</v>
      </c>
      <c r="F110" s="7">
        <v>1988</v>
      </c>
      <c r="G110" s="7">
        <v>64</v>
      </c>
      <c r="H110" s="7">
        <v>1437</v>
      </c>
      <c r="I110" s="18">
        <f t="shared" si="5"/>
        <v>4.4695249443557634E-2</v>
      </c>
      <c r="J110" s="19">
        <f t="shared" si="6"/>
        <v>0.72283702213279677</v>
      </c>
      <c r="K110" s="20">
        <f t="shared" si="7"/>
        <v>22.453125</v>
      </c>
      <c r="L110" s="21">
        <f t="shared" si="8"/>
        <v>5.0327070285316635</v>
      </c>
      <c r="M110" s="7">
        <v>7232</v>
      </c>
      <c r="N110" s="7" t="str">
        <f t="shared" si="9"/>
        <v>June</v>
      </c>
      <c r="O110" s="8"/>
    </row>
    <row r="111" spans="1:15" x14ac:dyDescent="0.5">
      <c r="A111" s="22">
        <v>45478</v>
      </c>
      <c r="B111" s="7" t="s">
        <v>120</v>
      </c>
      <c r="C111" s="7" t="s">
        <v>58</v>
      </c>
      <c r="D111" s="7" t="s">
        <v>17</v>
      </c>
      <c r="E111" s="7">
        <v>35955</v>
      </c>
      <c r="F111" s="7">
        <v>559</v>
      </c>
      <c r="G111" s="7">
        <v>24</v>
      </c>
      <c r="H111" s="7">
        <v>614</v>
      </c>
      <c r="I111" s="18">
        <f t="shared" si="5"/>
        <v>1.5547211792518426E-2</v>
      </c>
      <c r="J111" s="19">
        <f t="shared" si="6"/>
        <v>1.0983899821109124</v>
      </c>
      <c r="K111" s="20">
        <f t="shared" si="7"/>
        <v>25.583333333333332</v>
      </c>
      <c r="L111" s="21">
        <f t="shared" si="8"/>
        <v>3.8306188925081432</v>
      </c>
      <c r="M111" s="7">
        <v>2352</v>
      </c>
      <c r="N111" s="7" t="str">
        <f t="shared" si="9"/>
        <v>July</v>
      </c>
      <c r="O111" s="8"/>
    </row>
    <row r="112" spans="1:15" x14ac:dyDescent="0.5">
      <c r="A112" s="22">
        <v>45509</v>
      </c>
      <c r="B112" s="7" t="s">
        <v>121</v>
      </c>
      <c r="C112" s="7" t="s">
        <v>55</v>
      </c>
      <c r="D112" s="7" t="s">
        <v>56</v>
      </c>
      <c r="E112" s="7">
        <v>49790</v>
      </c>
      <c r="F112" s="7">
        <v>438</v>
      </c>
      <c r="G112" s="7">
        <v>27</v>
      </c>
      <c r="H112" s="7">
        <v>761</v>
      </c>
      <c r="I112" s="18">
        <f t="shared" si="5"/>
        <v>8.796947178148223E-3</v>
      </c>
      <c r="J112" s="19">
        <f t="shared" si="6"/>
        <v>1.7374429223744292</v>
      </c>
      <c r="K112" s="20">
        <f t="shared" si="7"/>
        <v>28.185185185185187</v>
      </c>
      <c r="L112" s="21">
        <f t="shared" si="8"/>
        <v>3.7253613666228644</v>
      </c>
      <c r="M112" s="7">
        <v>2835</v>
      </c>
      <c r="N112" s="7" t="str">
        <f t="shared" si="9"/>
        <v>August</v>
      </c>
      <c r="O112" s="8"/>
    </row>
    <row r="113" spans="1:15" x14ac:dyDescent="0.5">
      <c r="A113" s="22">
        <v>45540</v>
      </c>
      <c r="B113" s="7" t="s">
        <v>121</v>
      </c>
      <c r="C113" s="7" t="s">
        <v>55</v>
      </c>
      <c r="D113" s="7" t="s">
        <v>56</v>
      </c>
      <c r="E113" s="7">
        <v>29557</v>
      </c>
      <c r="F113" s="7">
        <v>254</v>
      </c>
      <c r="G113" s="7">
        <v>43</v>
      </c>
      <c r="H113" s="7">
        <v>732</v>
      </c>
      <c r="I113" s="18">
        <f t="shared" si="5"/>
        <v>8.5935649761477821E-3</v>
      </c>
      <c r="J113" s="19">
        <f t="shared" si="6"/>
        <v>2.8818897637795278</v>
      </c>
      <c r="K113" s="20">
        <f t="shared" si="7"/>
        <v>17.023255813953487</v>
      </c>
      <c r="L113" s="21">
        <f t="shared" si="8"/>
        <v>5.8743169398907105</v>
      </c>
      <c r="M113" s="7">
        <v>4300</v>
      </c>
      <c r="N113" s="7" t="str">
        <f t="shared" si="9"/>
        <v>September</v>
      </c>
      <c r="O113" s="8"/>
    </row>
    <row r="114" spans="1:15" x14ac:dyDescent="0.5">
      <c r="A114" s="22">
        <v>45570</v>
      </c>
      <c r="B114" s="7" t="s">
        <v>54</v>
      </c>
      <c r="C114" s="7" t="s">
        <v>58</v>
      </c>
      <c r="D114" s="7" t="s">
        <v>17</v>
      </c>
      <c r="E114" s="7">
        <v>7648</v>
      </c>
      <c r="F114" s="7">
        <v>827</v>
      </c>
      <c r="G114" s="7">
        <v>64</v>
      </c>
      <c r="H114" s="7">
        <v>356</v>
      </c>
      <c r="I114" s="18">
        <f t="shared" si="5"/>
        <v>0.10813284518828452</v>
      </c>
      <c r="J114" s="19">
        <f t="shared" si="6"/>
        <v>0.43047158403869407</v>
      </c>
      <c r="K114" s="20">
        <f t="shared" si="7"/>
        <v>5.5625</v>
      </c>
      <c r="L114" s="21">
        <f t="shared" si="8"/>
        <v>20.674157303370787</v>
      </c>
      <c r="M114" s="7">
        <v>7360</v>
      </c>
      <c r="N114" s="7" t="str">
        <f t="shared" si="9"/>
        <v>October</v>
      </c>
      <c r="O114" s="8"/>
    </row>
    <row r="115" spans="1:15" x14ac:dyDescent="0.5">
      <c r="A115" s="22">
        <v>45601</v>
      </c>
      <c r="B115" s="7" t="s">
        <v>122</v>
      </c>
      <c r="C115" s="7" t="s">
        <v>58</v>
      </c>
      <c r="D115" s="7" t="s">
        <v>17</v>
      </c>
      <c r="E115" s="7">
        <v>37041</v>
      </c>
      <c r="F115" s="7">
        <v>1399</v>
      </c>
      <c r="G115" s="7">
        <v>18</v>
      </c>
      <c r="H115" s="7">
        <v>214</v>
      </c>
      <c r="I115" s="18">
        <f t="shared" si="5"/>
        <v>3.7768958721416807E-2</v>
      </c>
      <c r="J115" s="19">
        <f t="shared" si="6"/>
        <v>0.15296640457469621</v>
      </c>
      <c r="K115" s="20">
        <f t="shared" si="7"/>
        <v>11.888888888888889</v>
      </c>
      <c r="L115" s="21">
        <f t="shared" si="8"/>
        <v>11.186915887850468</v>
      </c>
      <c r="M115" s="7">
        <v>2394</v>
      </c>
      <c r="N115" s="7" t="str">
        <f t="shared" si="9"/>
        <v>November</v>
      </c>
      <c r="O115" s="8"/>
    </row>
    <row r="116" spans="1:15" x14ac:dyDescent="0.5">
      <c r="A116" s="22">
        <v>45631</v>
      </c>
      <c r="B116" s="7" t="s">
        <v>81</v>
      </c>
      <c r="C116" s="7" t="s">
        <v>58</v>
      </c>
      <c r="D116" s="7" t="s">
        <v>17</v>
      </c>
      <c r="E116" s="7">
        <v>18986</v>
      </c>
      <c r="F116" s="7">
        <v>1355</v>
      </c>
      <c r="G116" s="7">
        <v>74</v>
      </c>
      <c r="H116" s="7">
        <v>1334</v>
      </c>
      <c r="I116" s="18">
        <f t="shared" si="5"/>
        <v>7.1368376698620034E-2</v>
      </c>
      <c r="J116" s="19">
        <f t="shared" si="6"/>
        <v>0.98450184501845017</v>
      </c>
      <c r="K116" s="20">
        <f t="shared" si="7"/>
        <v>18.027027027027028</v>
      </c>
      <c r="L116" s="21">
        <f t="shared" si="8"/>
        <v>6.6566716641679164</v>
      </c>
      <c r="M116" s="7">
        <v>8880</v>
      </c>
      <c r="N116" s="7" t="str">
        <f t="shared" si="9"/>
        <v>December</v>
      </c>
      <c r="O116" s="8"/>
    </row>
    <row r="117" spans="1:15" x14ac:dyDescent="0.5">
      <c r="A117" s="22">
        <v>45510</v>
      </c>
      <c r="B117" s="7" t="s">
        <v>99</v>
      </c>
      <c r="C117" s="7" t="s">
        <v>55</v>
      </c>
      <c r="D117" s="7" t="s">
        <v>56</v>
      </c>
      <c r="E117" s="7">
        <v>10665</v>
      </c>
      <c r="F117" s="7">
        <v>1082</v>
      </c>
      <c r="G117" s="7">
        <v>84</v>
      </c>
      <c r="H117" s="7">
        <v>1452</v>
      </c>
      <c r="I117" s="18">
        <f t="shared" si="5"/>
        <v>0.10145335208626348</v>
      </c>
      <c r="J117" s="19">
        <f t="shared" si="6"/>
        <v>1.3419593345656193</v>
      </c>
      <c r="K117" s="20">
        <f t="shared" si="7"/>
        <v>17.285714285714285</v>
      </c>
      <c r="L117" s="21">
        <f t="shared" si="8"/>
        <v>7.9256198347107434</v>
      </c>
      <c r="M117" s="7">
        <v>11508</v>
      </c>
      <c r="N117" s="7" t="str">
        <f t="shared" si="9"/>
        <v>August</v>
      </c>
      <c r="O117" s="8"/>
    </row>
    <row r="118" spans="1:15" x14ac:dyDescent="0.5">
      <c r="A118" s="22">
        <v>45541</v>
      </c>
      <c r="B118" s="7" t="s">
        <v>123</v>
      </c>
      <c r="C118" s="7" t="s">
        <v>58</v>
      </c>
      <c r="D118" s="7" t="s">
        <v>17</v>
      </c>
      <c r="E118" s="7">
        <v>25200</v>
      </c>
      <c r="F118" s="7">
        <v>1432</v>
      </c>
      <c r="G118" s="7">
        <v>17</v>
      </c>
      <c r="H118" s="7">
        <v>1231</v>
      </c>
      <c r="I118" s="18">
        <f t="shared" si="5"/>
        <v>5.6825396825396828E-2</v>
      </c>
      <c r="J118" s="19">
        <f t="shared" si="6"/>
        <v>0.85963687150837986</v>
      </c>
      <c r="K118" s="20">
        <f t="shared" si="7"/>
        <v>72.411764705882348</v>
      </c>
      <c r="L118" s="21">
        <f t="shared" si="8"/>
        <v>1.7400487408610885</v>
      </c>
      <c r="M118" s="7">
        <v>2142</v>
      </c>
      <c r="N118" s="7" t="str">
        <f t="shared" si="9"/>
        <v>September</v>
      </c>
      <c r="O118" s="8"/>
    </row>
    <row r="119" spans="1:15" x14ac:dyDescent="0.5">
      <c r="A119" s="22">
        <v>45356</v>
      </c>
      <c r="B119" s="7" t="s">
        <v>93</v>
      </c>
      <c r="C119" s="7" t="s">
        <v>58</v>
      </c>
      <c r="D119" s="7" t="s">
        <v>17</v>
      </c>
      <c r="E119" s="7">
        <v>48992</v>
      </c>
      <c r="F119" s="7">
        <v>1770</v>
      </c>
      <c r="G119" s="7">
        <v>72</v>
      </c>
      <c r="H119" s="7">
        <v>1292</v>
      </c>
      <c r="I119" s="18">
        <f t="shared" si="5"/>
        <v>3.6128347485303726E-2</v>
      </c>
      <c r="J119" s="19">
        <f t="shared" si="6"/>
        <v>0.72994350282485876</v>
      </c>
      <c r="K119" s="20">
        <f t="shared" si="7"/>
        <v>17.944444444444443</v>
      </c>
      <c r="L119" s="21">
        <f t="shared" si="8"/>
        <v>5.2383900928792571</v>
      </c>
      <c r="M119" s="7">
        <v>6768</v>
      </c>
      <c r="N119" s="7" t="str">
        <f t="shared" si="9"/>
        <v>March</v>
      </c>
      <c r="O119" s="8"/>
    </row>
    <row r="120" spans="1:15" x14ac:dyDescent="0.5">
      <c r="A120" s="22">
        <v>45417</v>
      </c>
      <c r="B120" s="7" t="s">
        <v>59</v>
      </c>
      <c r="C120" s="7" t="s">
        <v>58</v>
      </c>
      <c r="D120" s="7" t="s">
        <v>17</v>
      </c>
      <c r="E120" s="7">
        <v>5539</v>
      </c>
      <c r="F120" s="7">
        <v>1966</v>
      </c>
      <c r="G120" s="7">
        <v>43</v>
      </c>
      <c r="H120" s="7">
        <v>1405</v>
      </c>
      <c r="I120" s="18">
        <f t="shared" si="5"/>
        <v>0.35493771438887883</v>
      </c>
      <c r="J120" s="19">
        <f t="shared" si="6"/>
        <v>0.71464903357070197</v>
      </c>
      <c r="K120" s="20">
        <f t="shared" si="7"/>
        <v>32.674418604651166</v>
      </c>
      <c r="L120" s="21">
        <f t="shared" si="8"/>
        <v>3.121708185053381</v>
      </c>
      <c r="M120" s="7">
        <v>4386</v>
      </c>
      <c r="N120" s="7" t="str">
        <f t="shared" si="9"/>
        <v>May</v>
      </c>
      <c r="O120" s="8"/>
    </row>
    <row r="121" spans="1:15" x14ac:dyDescent="0.5">
      <c r="A121" s="22">
        <v>45448</v>
      </c>
      <c r="B121" s="7" t="s">
        <v>54</v>
      </c>
      <c r="C121" s="7" t="s">
        <v>58</v>
      </c>
      <c r="D121" s="7" t="s">
        <v>17</v>
      </c>
      <c r="E121" s="7">
        <v>22386</v>
      </c>
      <c r="F121" s="7">
        <v>1677</v>
      </c>
      <c r="G121" s="7">
        <v>78</v>
      </c>
      <c r="H121" s="7">
        <v>518</v>
      </c>
      <c r="I121" s="18">
        <f t="shared" si="5"/>
        <v>7.4912891986062713E-2</v>
      </c>
      <c r="J121" s="19">
        <f t="shared" si="6"/>
        <v>0.30888491353607633</v>
      </c>
      <c r="K121" s="20">
        <f t="shared" si="7"/>
        <v>6.6410256410256414</v>
      </c>
      <c r="L121" s="21">
        <f t="shared" si="8"/>
        <v>14.606177606177607</v>
      </c>
      <c r="M121" s="7">
        <v>7566</v>
      </c>
      <c r="N121" s="7" t="str">
        <f t="shared" si="9"/>
        <v>June</v>
      </c>
      <c r="O121" s="8"/>
    </row>
    <row r="122" spans="1:15" x14ac:dyDescent="0.5">
      <c r="A122" s="22">
        <v>45478</v>
      </c>
      <c r="B122" s="7" t="s">
        <v>122</v>
      </c>
      <c r="C122" s="7" t="s">
        <v>55</v>
      </c>
      <c r="D122" s="7" t="s">
        <v>56</v>
      </c>
      <c r="E122" s="7">
        <v>25046</v>
      </c>
      <c r="F122" s="7">
        <v>1049</v>
      </c>
      <c r="G122" s="7">
        <v>71</v>
      </c>
      <c r="H122" s="7">
        <v>1315</v>
      </c>
      <c r="I122" s="18">
        <f t="shared" si="5"/>
        <v>4.1882935398866089E-2</v>
      </c>
      <c r="J122" s="19">
        <f t="shared" si="6"/>
        <v>1.2535748331744518</v>
      </c>
      <c r="K122" s="20">
        <f t="shared" si="7"/>
        <v>18.52112676056338</v>
      </c>
      <c r="L122" s="21">
        <f t="shared" si="8"/>
        <v>6.1551330798479089</v>
      </c>
      <c r="M122" s="7">
        <v>8094</v>
      </c>
      <c r="N122" s="7" t="str">
        <f t="shared" si="9"/>
        <v>July</v>
      </c>
      <c r="O122" s="8"/>
    </row>
    <row r="123" spans="1:15" x14ac:dyDescent="0.5">
      <c r="A123" s="22">
        <v>45509</v>
      </c>
      <c r="B123" s="7" t="s">
        <v>86</v>
      </c>
      <c r="C123" s="7" t="s">
        <v>58</v>
      </c>
      <c r="D123" s="7" t="s">
        <v>17</v>
      </c>
      <c r="E123" s="7">
        <v>43510</v>
      </c>
      <c r="F123" s="7">
        <v>420</v>
      </c>
      <c r="G123" s="7">
        <v>40</v>
      </c>
      <c r="H123" s="7">
        <v>1125</v>
      </c>
      <c r="I123" s="18">
        <f t="shared" si="5"/>
        <v>9.6529533440588376E-3</v>
      </c>
      <c r="J123" s="19">
        <f t="shared" si="6"/>
        <v>2.6785714285714284</v>
      </c>
      <c r="K123" s="20">
        <f t="shared" si="7"/>
        <v>28.125</v>
      </c>
      <c r="L123" s="21">
        <f t="shared" si="8"/>
        <v>4.5866666666666669</v>
      </c>
      <c r="M123" s="7">
        <v>5160</v>
      </c>
      <c r="N123" s="7" t="str">
        <f t="shared" si="9"/>
        <v>August</v>
      </c>
      <c r="O123" s="8"/>
    </row>
    <row r="124" spans="1:15" x14ac:dyDescent="0.5">
      <c r="A124" s="22">
        <v>45540</v>
      </c>
      <c r="B124" s="7" t="s">
        <v>124</v>
      </c>
      <c r="C124" s="7" t="s">
        <v>58</v>
      </c>
      <c r="D124" s="7" t="s">
        <v>17</v>
      </c>
      <c r="E124" s="7">
        <v>27957</v>
      </c>
      <c r="F124" s="7">
        <v>390</v>
      </c>
      <c r="G124" s="7">
        <v>68</v>
      </c>
      <c r="H124" s="7">
        <v>774</v>
      </c>
      <c r="I124" s="18">
        <f t="shared" si="5"/>
        <v>1.3949994634617447E-2</v>
      </c>
      <c r="J124" s="19">
        <f t="shared" si="6"/>
        <v>1.9846153846153847</v>
      </c>
      <c r="K124" s="20">
        <f t="shared" si="7"/>
        <v>11.382352941176471</v>
      </c>
      <c r="L124" s="21">
        <f t="shared" si="8"/>
        <v>9.92764857881137</v>
      </c>
      <c r="M124" s="7">
        <v>7684</v>
      </c>
      <c r="N124" s="7" t="str">
        <f t="shared" si="9"/>
        <v>September</v>
      </c>
      <c r="O124" s="8"/>
    </row>
    <row r="125" spans="1:15" x14ac:dyDescent="0.5">
      <c r="A125" s="22">
        <v>45570</v>
      </c>
      <c r="B125" s="7" t="s">
        <v>125</v>
      </c>
      <c r="C125" s="7" t="s">
        <v>55</v>
      </c>
      <c r="D125" s="7" t="s">
        <v>56</v>
      </c>
      <c r="E125" s="7">
        <v>48899</v>
      </c>
      <c r="F125" s="7">
        <v>984</v>
      </c>
      <c r="G125" s="7">
        <v>55</v>
      </c>
      <c r="H125" s="7">
        <v>214</v>
      </c>
      <c r="I125" s="18">
        <f t="shared" si="5"/>
        <v>2.0123110902063437E-2</v>
      </c>
      <c r="J125" s="19">
        <f t="shared" si="6"/>
        <v>0.21747967479674796</v>
      </c>
      <c r="K125" s="20">
        <f t="shared" si="7"/>
        <v>3.8909090909090911</v>
      </c>
      <c r="L125" s="21">
        <f t="shared" si="8"/>
        <v>28.528037383177569</v>
      </c>
      <c r="M125" s="7">
        <v>6105</v>
      </c>
      <c r="N125" s="7" t="str">
        <f t="shared" si="9"/>
        <v>October</v>
      </c>
      <c r="O125" s="8"/>
    </row>
    <row r="126" spans="1:15" x14ac:dyDescent="0.5">
      <c r="A126" s="22">
        <v>45601</v>
      </c>
      <c r="B126" s="7" t="s">
        <v>99</v>
      </c>
      <c r="C126" s="7" t="s">
        <v>55</v>
      </c>
      <c r="D126" s="7" t="s">
        <v>56</v>
      </c>
      <c r="E126" s="7">
        <v>42724</v>
      </c>
      <c r="F126" s="7">
        <v>800</v>
      </c>
      <c r="G126" s="7">
        <v>60</v>
      </c>
      <c r="H126" s="7">
        <v>823</v>
      </c>
      <c r="I126" s="18">
        <f t="shared" si="5"/>
        <v>1.8724838498267952E-2</v>
      </c>
      <c r="J126" s="19">
        <f t="shared" si="6"/>
        <v>1.0287500000000001</v>
      </c>
      <c r="K126" s="20">
        <f t="shared" si="7"/>
        <v>13.716666666666667</v>
      </c>
      <c r="L126" s="21">
        <f t="shared" si="8"/>
        <v>9.4775212636695016</v>
      </c>
      <c r="M126" s="7">
        <v>7800</v>
      </c>
      <c r="N126" s="7" t="str">
        <f t="shared" si="9"/>
        <v>November</v>
      </c>
      <c r="O126" s="8"/>
    </row>
    <row r="127" spans="1:15" x14ac:dyDescent="0.5">
      <c r="A127" s="22">
        <v>45631</v>
      </c>
      <c r="B127" s="7" t="s">
        <v>60</v>
      </c>
      <c r="C127" s="7" t="s">
        <v>58</v>
      </c>
      <c r="D127" s="7" t="s">
        <v>17</v>
      </c>
      <c r="E127" s="7">
        <v>8762</v>
      </c>
      <c r="F127" s="7">
        <v>799</v>
      </c>
      <c r="G127" s="7">
        <v>80</v>
      </c>
      <c r="H127" s="7">
        <v>423</v>
      </c>
      <c r="I127" s="18">
        <f t="shared" si="5"/>
        <v>9.1189226204063001E-2</v>
      </c>
      <c r="J127" s="19">
        <f t="shared" si="6"/>
        <v>0.52941176470588236</v>
      </c>
      <c r="K127" s="20">
        <f t="shared" si="7"/>
        <v>5.2874999999999996</v>
      </c>
      <c r="L127" s="21">
        <f t="shared" si="8"/>
        <v>19.101654846335698</v>
      </c>
      <c r="M127" s="7">
        <v>8080</v>
      </c>
      <c r="N127" s="7" t="str">
        <f t="shared" si="9"/>
        <v>December</v>
      </c>
      <c r="O127" s="8"/>
    </row>
    <row r="128" spans="1:15" x14ac:dyDescent="0.5">
      <c r="A128" s="22">
        <v>45510</v>
      </c>
      <c r="B128" s="7" t="s">
        <v>97</v>
      </c>
      <c r="C128" s="7" t="s">
        <v>52</v>
      </c>
      <c r="D128" s="7" t="s">
        <v>53</v>
      </c>
      <c r="E128" s="7">
        <v>28239</v>
      </c>
      <c r="F128" s="7">
        <v>1994</v>
      </c>
      <c r="G128" s="7">
        <v>70</v>
      </c>
      <c r="H128" s="7">
        <v>569</v>
      </c>
      <c r="I128" s="18">
        <f t="shared" si="5"/>
        <v>7.0611565565352877E-2</v>
      </c>
      <c r="J128" s="19">
        <f t="shared" si="6"/>
        <v>0.28535606820461384</v>
      </c>
      <c r="K128" s="20">
        <f t="shared" si="7"/>
        <v>8.1285714285714281</v>
      </c>
      <c r="L128" s="21">
        <f t="shared" si="8"/>
        <v>10.579964850615115</v>
      </c>
      <c r="M128" s="7">
        <v>6020</v>
      </c>
      <c r="N128" s="7" t="str">
        <f t="shared" si="9"/>
        <v>August</v>
      </c>
      <c r="O128" s="8"/>
    </row>
    <row r="129" spans="1:15" x14ac:dyDescent="0.5">
      <c r="A129" s="22">
        <v>45541</v>
      </c>
      <c r="B129" s="7" t="s">
        <v>126</v>
      </c>
      <c r="C129" s="7" t="s">
        <v>55</v>
      </c>
      <c r="D129" s="7" t="s">
        <v>56</v>
      </c>
      <c r="E129" s="7">
        <v>41695</v>
      </c>
      <c r="F129" s="7">
        <v>716</v>
      </c>
      <c r="G129" s="7">
        <v>61</v>
      </c>
      <c r="H129" s="7">
        <v>1114</v>
      </c>
      <c r="I129" s="18">
        <f t="shared" si="5"/>
        <v>1.7172322820482071E-2</v>
      </c>
      <c r="J129" s="19">
        <f t="shared" si="6"/>
        <v>1.5558659217877095</v>
      </c>
      <c r="K129" s="20">
        <f t="shared" si="7"/>
        <v>18.262295081967213</v>
      </c>
      <c r="L129" s="21">
        <f t="shared" si="8"/>
        <v>6.0780969479353679</v>
      </c>
      <c r="M129" s="7">
        <v>6771</v>
      </c>
      <c r="N129" s="7" t="str">
        <f t="shared" si="9"/>
        <v>September</v>
      </c>
      <c r="O129" s="8"/>
    </row>
    <row r="130" spans="1:15" x14ac:dyDescent="0.5">
      <c r="A130" s="22">
        <v>45571</v>
      </c>
      <c r="B130" s="7" t="s">
        <v>112</v>
      </c>
      <c r="C130" s="7" t="s">
        <v>55</v>
      </c>
      <c r="D130" s="7" t="s">
        <v>56</v>
      </c>
      <c r="E130" s="7">
        <v>45942</v>
      </c>
      <c r="F130" s="7">
        <v>1566</v>
      </c>
      <c r="G130" s="7">
        <v>57</v>
      </c>
      <c r="H130" s="7">
        <v>1167</v>
      </c>
      <c r="I130" s="18">
        <f t="shared" si="5"/>
        <v>3.4086456836881288E-2</v>
      </c>
      <c r="J130" s="19">
        <f t="shared" si="6"/>
        <v>0.74521072796934862</v>
      </c>
      <c r="K130" s="20">
        <f t="shared" si="7"/>
        <v>20.473684210526315</v>
      </c>
      <c r="L130" s="21">
        <f t="shared" si="8"/>
        <v>4.2982005141388173</v>
      </c>
      <c r="M130" s="7">
        <v>5016</v>
      </c>
      <c r="N130" s="7" t="str">
        <f t="shared" si="9"/>
        <v>October</v>
      </c>
      <c r="O130" s="8"/>
    </row>
    <row r="131" spans="1:15" x14ac:dyDescent="0.5">
      <c r="A131" s="22">
        <v>45632</v>
      </c>
      <c r="B131" s="7" t="s">
        <v>127</v>
      </c>
      <c r="C131" s="7" t="s">
        <v>55</v>
      </c>
      <c r="D131" s="7" t="s">
        <v>56</v>
      </c>
      <c r="E131" s="7">
        <v>42146</v>
      </c>
      <c r="F131" s="7">
        <v>1196</v>
      </c>
      <c r="G131" s="7">
        <v>91</v>
      </c>
      <c r="H131" s="7">
        <v>915</v>
      </c>
      <c r="I131" s="18">
        <f t="shared" ref="I131:I168" si="10">F131/E131</f>
        <v>2.8377544725478099E-2</v>
      </c>
      <c r="J131" s="19">
        <f t="shared" ref="J131:J168" si="11">H131/F131</f>
        <v>0.76505016722408026</v>
      </c>
      <c r="K131" s="20">
        <f t="shared" ref="K131:K168" si="12">H131/G131</f>
        <v>10.054945054945055</v>
      </c>
      <c r="L131" s="21">
        <f t="shared" ref="L131:L168" si="13">M131/H131</f>
        <v>11.834972677595628</v>
      </c>
      <c r="M131" s="7">
        <v>10829</v>
      </c>
      <c r="N131" s="7" t="str">
        <f t="shared" ref="N131:N168" si="14">TEXT(A131,"mmmm")</f>
        <v>December</v>
      </c>
      <c r="O131" s="8"/>
    </row>
    <row r="132" spans="1:15" x14ac:dyDescent="0.5">
      <c r="A132" s="22">
        <v>45296</v>
      </c>
      <c r="B132" s="7" t="s">
        <v>128</v>
      </c>
      <c r="C132" s="7" t="s">
        <v>58</v>
      </c>
      <c r="D132" s="7" t="s">
        <v>17</v>
      </c>
      <c r="E132" s="7">
        <v>14905</v>
      </c>
      <c r="F132" s="7">
        <v>1909</v>
      </c>
      <c r="G132" s="7">
        <v>13</v>
      </c>
      <c r="H132" s="7">
        <v>1215</v>
      </c>
      <c r="I132" s="18">
        <f t="shared" si="10"/>
        <v>0.12807782623280778</v>
      </c>
      <c r="J132" s="19">
        <f t="shared" si="11"/>
        <v>0.63645887899423781</v>
      </c>
      <c r="K132" s="20">
        <f t="shared" si="12"/>
        <v>93.461538461538467</v>
      </c>
      <c r="L132" s="21">
        <f t="shared" si="13"/>
        <v>1.4551440329218106</v>
      </c>
      <c r="M132" s="7">
        <v>1768</v>
      </c>
      <c r="N132" s="7" t="str">
        <f t="shared" si="14"/>
        <v>January</v>
      </c>
      <c r="O132" s="8"/>
    </row>
    <row r="133" spans="1:15" x14ac:dyDescent="0.5">
      <c r="A133" s="22">
        <v>45327</v>
      </c>
      <c r="B133" s="7" t="s">
        <v>63</v>
      </c>
      <c r="C133" s="7" t="s">
        <v>55</v>
      </c>
      <c r="D133" s="7" t="s">
        <v>56</v>
      </c>
      <c r="E133" s="7">
        <v>6640</v>
      </c>
      <c r="F133" s="7">
        <v>955</v>
      </c>
      <c r="G133" s="7">
        <v>20</v>
      </c>
      <c r="H133" s="7">
        <v>1237</v>
      </c>
      <c r="I133" s="18">
        <f t="shared" si="10"/>
        <v>0.14382530120481929</v>
      </c>
      <c r="J133" s="19">
        <f t="shared" si="11"/>
        <v>1.2952879581151833</v>
      </c>
      <c r="K133" s="20">
        <f t="shared" si="12"/>
        <v>61.85</v>
      </c>
      <c r="L133" s="21">
        <f t="shared" si="13"/>
        <v>1.5359741309620047</v>
      </c>
      <c r="M133" s="7">
        <v>1900</v>
      </c>
      <c r="N133" s="7" t="str">
        <f t="shared" si="14"/>
        <v>February</v>
      </c>
      <c r="O133" s="8"/>
    </row>
    <row r="134" spans="1:15" x14ac:dyDescent="0.5">
      <c r="A134" s="22">
        <v>45356</v>
      </c>
      <c r="B134" s="7" t="s">
        <v>129</v>
      </c>
      <c r="C134" s="7" t="s">
        <v>58</v>
      </c>
      <c r="D134" s="7" t="s">
        <v>17</v>
      </c>
      <c r="E134" s="7">
        <v>25615</v>
      </c>
      <c r="F134" s="7">
        <v>1274</v>
      </c>
      <c r="G134" s="7">
        <v>90</v>
      </c>
      <c r="H134" s="7">
        <v>267</v>
      </c>
      <c r="I134" s="18">
        <f t="shared" si="10"/>
        <v>4.9736482529767714E-2</v>
      </c>
      <c r="J134" s="19">
        <f t="shared" si="11"/>
        <v>0.20957613814756673</v>
      </c>
      <c r="K134" s="20">
        <f t="shared" si="12"/>
        <v>2.9666666666666668</v>
      </c>
      <c r="L134" s="21">
        <f t="shared" si="13"/>
        <v>50.561797752808985</v>
      </c>
      <c r="M134" s="7">
        <v>13500</v>
      </c>
      <c r="N134" s="7" t="str">
        <f t="shared" si="14"/>
        <v>March</v>
      </c>
      <c r="O134" s="8"/>
    </row>
    <row r="135" spans="1:15" x14ac:dyDescent="0.5">
      <c r="A135" s="22">
        <v>45417</v>
      </c>
      <c r="B135" s="7" t="s">
        <v>69</v>
      </c>
      <c r="C135" s="7" t="s">
        <v>52</v>
      </c>
      <c r="D135" s="7" t="s">
        <v>53</v>
      </c>
      <c r="E135" s="7">
        <v>44680</v>
      </c>
      <c r="F135" s="7">
        <v>776</v>
      </c>
      <c r="G135" s="7">
        <v>10</v>
      </c>
      <c r="H135" s="7">
        <v>1105</v>
      </c>
      <c r="I135" s="18">
        <f t="shared" si="10"/>
        <v>1.7367949865711729E-2</v>
      </c>
      <c r="J135" s="19">
        <f t="shared" si="11"/>
        <v>1.4239690721649485</v>
      </c>
      <c r="K135" s="20">
        <f t="shared" si="12"/>
        <v>110.5</v>
      </c>
      <c r="L135" s="21">
        <f t="shared" si="13"/>
        <v>1.1131221719457014</v>
      </c>
      <c r="M135" s="7">
        <v>1230</v>
      </c>
      <c r="N135" s="7" t="str">
        <f t="shared" si="14"/>
        <v>May</v>
      </c>
      <c r="O135" s="8"/>
    </row>
    <row r="136" spans="1:15" x14ac:dyDescent="0.5">
      <c r="A136" s="22">
        <v>45448</v>
      </c>
      <c r="B136" s="7" t="s">
        <v>130</v>
      </c>
      <c r="C136" s="7" t="s">
        <v>58</v>
      </c>
      <c r="D136" s="7" t="s">
        <v>17</v>
      </c>
      <c r="E136" s="7">
        <v>7927</v>
      </c>
      <c r="F136" s="7">
        <v>363</v>
      </c>
      <c r="G136" s="7">
        <v>48</v>
      </c>
      <c r="H136" s="7">
        <v>1262</v>
      </c>
      <c r="I136" s="18">
        <f t="shared" si="10"/>
        <v>4.5792859846095622E-2</v>
      </c>
      <c r="J136" s="19">
        <f t="shared" si="11"/>
        <v>3.4765840220385673</v>
      </c>
      <c r="K136" s="20">
        <f t="shared" si="12"/>
        <v>26.291666666666668</v>
      </c>
      <c r="L136" s="21">
        <f t="shared" si="13"/>
        <v>4.7543581616481774</v>
      </c>
      <c r="M136" s="7">
        <v>6000</v>
      </c>
      <c r="N136" s="7" t="str">
        <f t="shared" si="14"/>
        <v>June</v>
      </c>
      <c r="O136" s="8"/>
    </row>
    <row r="137" spans="1:15" x14ac:dyDescent="0.5">
      <c r="A137" s="22">
        <v>45478</v>
      </c>
      <c r="B137" s="7" t="s">
        <v>96</v>
      </c>
      <c r="C137" s="7" t="s">
        <v>55</v>
      </c>
      <c r="D137" s="7" t="s">
        <v>56</v>
      </c>
      <c r="E137" s="7">
        <v>7327</v>
      </c>
      <c r="F137" s="7">
        <v>230</v>
      </c>
      <c r="G137" s="7">
        <v>69</v>
      </c>
      <c r="H137" s="7">
        <v>496</v>
      </c>
      <c r="I137" s="18">
        <f t="shared" si="10"/>
        <v>3.1390746553841956E-2</v>
      </c>
      <c r="J137" s="19">
        <f t="shared" si="11"/>
        <v>2.1565217391304348</v>
      </c>
      <c r="K137" s="20">
        <f t="shared" si="12"/>
        <v>7.1884057971014492</v>
      </c>
      <c r="L137" s="21">
        <f t="shared" si="13"/>
        <v>16.276209677419356</v>
      </c>
      <c r="M137" s="7">
        <v>8073</v>
      </c>
      <c r="N137" s="7" t="str">
        <f t="shared" si="14"/>
        <v>July</v>
      </c>
      <c r="O137" s="8"/>
    </row>
    <row r="138" spans="1:15" x14ac:dyDescent="0.5">
      <c r="A138" s="22">
        <v>45509</v>
      </c>
      <c r="B138" s="7" t="s">
        <v>131</v>
      </c>
      <c r="C138" s="7" t="s">
        <v>52</v>
      </c>
      <c r="D138" s="7" t="s">
        <v>53</v>
      </c>
      <c r="E138" s="7">
        <v>13822</v>
      </c>
      <c r="F138" s="7">
        <v>868</v>
      </c>
      <c r="G138" s="7">
        <v>23</v>
      </c>
      <c r="H138" s="7">
        <v>632</v>
      </c>
      <c r="I138" s="18">
        <f t="shared" si="10"/>
        <v>6.2798437273911156E-2</v>
      </c>
      <c r="J138" s="19">
        <f t="shared" si="11"/>
        <v>0.72811059907834097</v>
      </c>
      <c r="K138" s="20">
        <f t="shared" si="12"/>
        <v>27.478260869565219</v>
      </c>
      <c r="L138" s="21">
        <f t="shared" si="13"/>
        <v>2.9841772151898733</v>
      </c>
      <c r="M138" s="7">
        <v>1886</v>
      </c>
      <c r="N138" s="7" t="str">
        <f t="shared" si="14"/>
        <v>August</v>
      </c>
      <c r="O138" s="8"/>
    </row>
    <row r="139" spans="1:15" x14ac:dyDescent="0.5">
      <c r="A139" s="22">
        <v>45540</v>
      </c>
      <c r="B139" s="7" t="s">
        <v>132</v>
      </c>
      <c r="C139" s="7" t="s">
        <v>58</v>
      </c>
      <c r="D139" s="7" t="s">
        <v>17</v>
      </c>
      <c r="E139" s="7">
        <v>46558</v>
      </c>
      <c r="F139" s="7">
        <v>849</v>
      </c>
      <c r="G139" s="7">
        <v>49</v>
      </c>
      <c r="H139" s="7">
        <v>881</v>
      </c>
      <c r="I139" s="18">
        <f t="shared" si="10"/>
        <v>1.8235319386571587E-2</v>
      </c>
      <c r="J139" s="19">
        <f t="shared" si="11"/>
        <v>1.0376914016489989</v>
      </c>
      <c r="K139" s="20">
        <f t="shared" si="12"/>
        <v>17.979591836734695</v>
      </c>
      <c r="L139" s="21">
        <f t="shared" si="13"/>
        <v>6.396140749148695</v>
      </c>
      <c r="M139" s="7">
        <v>5635</v>
      </c>
      <c r="N139" s="7" t="str">
        <f t="shared" si="14"/>
        <v>September</v>
      </c>
      <c r="O139" s="8"/>
    </row>
    <row r="140" spans="1:15" x14ac:dyDescent="0.5">
      <c r="A140" s="22">
        <v>45570</v>
      </c>
      <c r="B140" s="7" t="s">
        <v>133</v>
      </c>
      <c r="C140" s="7" t="s">
        <v>55</v>
      </c>
      <c r="D140" s="7" t="s">
        <v>56</v>
      </c>
      <c r="E140" s="7">
        <v>45771</v>
      </c>
      <c r="F140" s="7">
        <v>309</v>
      </c>
      <c r="G140" s="7">
        <v>25</v>
      </c>
      <c r="H140" s="7">
        <v>270</v>
      </c>
      <c r="I140" s="18">
        <f t="shared" si="10"/>
        <v>6.7509995411942064E-3</v>
      </c>
      <c r="J140" s="19">
        <f t="shared" si="11"/>
        <v>0.87378640776699024</v>
      </c>
      <c r="K140" s="20">
        <f t="shared" si="12"/>
        <v>10.8</v>
      </c>
      <c r="L140" s="21">
        <f t="shared" si="13"/>
        <v>7.3148148148148149</v>
      </c>
      <c r="M140" s="7">
        <v>1975</v>
      </c>
      <c r="N140" s="7" t="str">
        <f t="shared" si="14"/>
        <v>October</v>
      </c>
      <c r="O140" s="8"/>
    </row>
    <row r="141" spans="1:15" x14ac:dyDescent="0.5">
      <c r="A141" s="22">
        <v>45601</v>
      </c>
      <c r="B141" s="7" t="s">
        <v>79</v>
      </c>
      <c r="C141" s="7" t="s">
        <v>55</v>
      </c>
      <c r="D141" s="7" t="s">
        <v>56</v>
      </c>
      <c r="E141" s="7">
        <v>36839</v>
      </c>
      <c r="F141" s="7">
        <v>1387</v>
      </c>
      <c r="G141" s="7">
        <v>76</v>
      </c>
      <c r="H141" s="7">
        <v>1091</v>
      </c>
      <c r="I141" s="18">
        <f t="shared" si="10"/>
        <v>3.7650316240940306E-2</v>
      </c>
      <c r="J141" s="19">
        <f t="shared" si="11"/>
        <v>0.78658976207642395</v>
      </c>
      <c r="K141" s="20">
        <f t="shared" si="12"/>
        <v>14.355263157894736</v>
      </c>
      <c r="L141" s="21">
        <f t="shared" si="13"/>
        <v>9.682859761686526</v>
      </c>
      <c r="M141" s="7">
        <v>10564</v>
      </c>
      <c r="N141" s="7" t="str">
        <f t="shared" si="14"/>
        <v>November</v>
      </c>
      <c r="O141" s="8"/>
    </row>
    <row r="142" spans="1:15" x14ac:dyDescent="0.5">
      <c r="A142" s="22">
        <v>45631</v>
      </c>
      <c r="B142" s="7" t="s">
        <v>126</v>
      </c>
      <c r="C142" s="7" t="s">
        <v>58</v>
      </c>
      <c r="D142" s="7" t="s">
        <v>17</v>
      </c>
      <c r="E142" s="7">
        <v>33407</v>
      </c>
      <c r="F142" s="7">
        <v>1130</v>
      </c>
      <c r="G142" s="7">
        <v>67</v>
      </c>
      <c r="H142" s="7">
        <v>1221</v>
      </c>
      <c r="I142" s="18">
        <f t="shared" si="10"/>
        <v>3.3825246205884993E-2</v>
      </c>
      <c r="J142" s="19">
        <f t="shared" si="11"/>
        <v>1.0805309734513275</v>
      </c>
      <c r="K142" s="20">
        <f t="shared" si="12"/>
        <v>18.223880597014926</v>
      </c>
      <c r="L142" s="21">
        <f t="shared" si="13"/>
        <v>7.1334971334971335</v>
      </c>
      <c r="M142" s="7">
        <v>8710</v>
      </c>
      <c r="N142" s="7" t="str">
        <f t="shared" si="14"/>
        <v>December</v>
      </c>
      <c r="O142" s="8"/>
    </row>
    <row r="143" spans="1:15" x14ac:dyDescent="0.5">
      <c r="A143" s="22">
        <v>45510</v>
      </c>
      <c r="B143" s="7" t="s">
        <v>134</v>
      </c>
      <c r="C143" s="7" t="s">
        <v>135</v>
      </c>
      <c r="D143" s="7" t="s">
        <v>136</v>
      </c>
      <c r="E143" s="7">
        <v>40613</v>
      </c>
      <c r="F143" s="7">
        <v>344</v>
      </c>
      <c r="G143" s="7">
        <v>89</v>
      </c>
      <c r="H143" s="7">
        <v>1477</v>
      </c>
      <c r="I143" s="18">
        <f t="shared" si="10"/>
        <v>8.4701942727698036E-3</v>
      </c>
      <c r="J143" s="19">
        <f t="shared" si="11"/>
        <v>4.2936046511627906</v>
      </c>
      <c r="K143" s="20">
        <f t="shared" si="12"/>
        <v>16.59550561797753</v>
      </c>
      <c r="L143" s="21">
        <f t="shared" si="13"/>
        <v>6.6885578876100205</v>
      </c>
      <c r="M143" s="7">
        <v>9879</v>
      </c>
      <c r="N143" s="7" t="str">
        <f t="shared" si="14"/>
        <v>August</v>
      </c>
      <c r="O143" s="8"/>
    </row>
    <row r="144" spans="1:15" x14ac:dyDescent="0.5">
      <c r="A144" s="22">
        <v>45541</v>
      </c>
      <c r="B144" s="7" t="s">
        <v>137</v>
      </c>
      <c r="C144" s="7" t="s">
        <v>58</v>
      </c>
      <c r="D144" s="7" t="s">
        <v>17</v>
      </c>
      <c r="E144" s="7">
        <v>33959</v>
      </c>
      <c r="F144" s="7">
        <v>1039</v>
      </c>
      <c r="G144" s="7">
        <v>29</v>
      </c>
      <c r="H144" s="7">
        <v>1400</v>
      </c>
      <c r="I144" s="18">
        <f t="shared" si="10"/>
        <v>3.0595718366265203E-2</v>
      </c>
      <c r="J144" s="19">
        <f t="shared" si="11"/>
        <v>1.3474494706448508</v>
      </c>
      <c r="K144" s="20">
        <f t="shared" si="12"/>
        <v>48.275862068965516</v>
      </c>
      <c r="L144" s="21">
        <f t="shared" si="13"/>
        <v>1.8642857142857143</v>
      </c>
      <c r="M144" s="7">
        <v>2610</v>
      </c>
      <c r="N144" s="7" t="str">
        <f t="shared" si="14"/>
        <v>September</v>
      </c>
      <c r="O144" s="8"/>
    </row>
    <row r="145" spans="1:15" x14ac:dyDescent="0.5">
      <c r="A145" s="22">
        <v>45357</v>
      </c>
      <c r="B145" s="7" t="s">
        <v>138</v>
      </c>
      <c r="C145" s="7" t="s">
        <v>58</v>
      </c>
      <c r="D145" s="7" t="s">
        <v>17</v>
      </c>
      <c r="E145" s="7">
        <v>10400</v>
      </c>
      <c r="F145" s="7">
        <v>733</v>
      </c>
      <c r="G145" s="7">
        <v>56</v>
      </c>
      <c r="H145" s="7">
        <v>826</v>
      </c>
      <c r="I145" s="18">
        <f t="shared" si="10"/>
        <v>7.0480769230769236E-2</v>
      </c>
      <c r="J145" s="19">
        <f t="shared" si="11"/>
        <v>1.1268758526603002</v>
      </c>
      <c r="K145" s="20">
        <f t="shared" si="12"/>
        <v>14.75</v>
      </c>
      <c r="L145" s="21">
        <f t="shared" si="13"/>
        <v>5.5593220338983054</v>
      </c>
      <c r="M145" s="7">
        <v>4592</v>
      </c>
      <c r="N145" s="7" t="str">
        <f t="shared" si="14"/>
        <v>March</v>
      </c>
      <c r="O145" s="8"/>
    </row>
    <row r="146" spans="1:15" x14ac:dyDescent="0.5">
      <c r="A146" s="22">
        <v>45388</v>
      </c>
      <c r="B146" s="7" t="s">
        <v>139</v>
      </c>
      <c r="C146" s="7" t="s">
        <v>58</v>
      </c>
      <c r="D146" s="7" t="s">
        <v>17</v>
      </c>
      <c r="E146" s="7">
        <v>17090</v>
      </c>
      <c r="F146" s="7">
        <v>802</v>
      </c>
      <c r="G146" s="7">
        <v>43</v>
      </c>
      <c r="H146" s="7">
        <v>855</v>
      </c>
      <c r="I146" s="18">
        <f t="shared" si="10"/>
        <v>4.6928028086600349E-2</v>
      </c>
      <c r="J146" s="19">
        <f t="shared" si="11"/>
        <v>1.0660847880299251</v>
      </c>
      <c r="K146" s="20">
        <f t="shared" si="12"/>
        <v>19.88372093023256</v>
      </c>
      <c r="L146" s="21">
        <f t="shared" si="13"/>
        <v>7.3929824561403512</v>
      </c>
      <c r="M146" s="7">
        <v>6321</v>
      </c>
      <c r="N146" s="7" t="str">
        <f t="shared" si="14"/>
        <v>April</v>
      </c>
      <c r="O146" s="8"/>
    </row>
    <row r="147" spans="1:15" x14ac:dyDescent="0.5">
      <c r="A147" s="22">
        <v>45449</v>
      </c>
      <c r="B147" s="7" t="s">
        <v>140</v>
      </c>
      <c r="C147" s="7" t="s">
        <v>55</v>
      </c>
      <c r="D147" s="7" t="s">
        <v>56</v>
      </c>
      <c r="E147" s="7">
        <v>20573</v>
      </c>
      <c r="F147" s="7">
        <v>1253</v>
      </c>
      <c r="G147" s="7">
        <v>22</v>
      </c>
      <c r="H147" s="7">
        <v>468</v>
      </c>
      <c r="I147" s="18">
        <f t="shared" si="10"/>
        <v>6.0905069751616199E-2</v>
      </c>
      <c r="J147" s="19">
        <f t="shared" si="11"/>
        <v>0.37350359138068634</v>
      </c>
      <c r="K147" s="20">
        <f t="shared" si="12"/>
        <v>21.272727272727273</v>
      </c>
      <c r="L147" s="21">
        <f t="shared" si="13"/>
        <v>3.5256410256410255</v>
      </c>
      <c r="M147" s="7">
        <v>1650</v>
      </c>
      <c r="N147" s="7" t="str">
        <f t="shared" si="14"/>
        <v>June</v>
      </c>
      <c r="O147" s="8"/>
    </row>
    <row r="148" spans="1:15" x14ac:dyDescent="0.5">
      <c r="A148" s="22">
        <v>45479</v>
      </c>
      <c r="B148" s="7" t="s">
        <v>100</v>
      </c>
      <c r="C148" s="7" t="s">
        <v>58</v>
      </c>
      <c r="D148" s="7" t="s">
        <v>17</v>
      </c>
      <c r="E148" s="7">
        <v>39278</v>
      </c>
      <c r="F148" s="7">
        <v>1088</v>
      </c>
      <c r="G148" s="7">
        <v>33</v>
      </c>
      <c r="H148" s="7">
        <v>1303</v>
      </c>
      <c r="I148" s="18">
        <f t="shared" si="10"/>
        <v>2.7699984724273131E-2</v>
      </c>
      <c r="J148" s="19">
        <f t="shared" si="11"/>
        <v>1.197610294117647</v>
      </c>
      <c r="K148" s="20">
        <f t="shared" si="12"/>
        <v>39.484848484848484</v>
      </c>
      <c r="L148" s="21">
        <f t="shared" si="13"/>
        <v>2.7605525709900229</v>
      </c>
      <c r="M148" s="7">
        <v>3597</v>
      </c>
      <c r="N148" s="7" t="str">
        <f t="shared" si="14"/>
        <v>July</v>
      </c>
      <c r="O148" s="8"/>
    </row>
    <row r="149" spans="1:15" x14ac:dyDescent="0.5">
      <c r="A149" s="22">
        <v>45510</v>
      </c>
      <c r="B149" s="7" t="s">
        <v>77</v>
      </c>
      <c r="C149" s="7" t="s">
        <v>58</v>
      </c>
      <c r="D149" s="7" t="s">
        <v>17</v>
      </c>
      <c r="E149" s="7">
        <v>30332</v>
      </c>
      <c r="F149" s="7">
        <v>490</v>
      </c>
      <c r="G149" s="7">
        <v>19</v>
      </c>
      <c r="H149" s="7">
        <v>1381</v>
      </c>
      <c r="I149" s="18">
        <f t="shared" si="10"/>
        <v>1.6154556244230515E-2</v>
      </c>
      <c r="J149" s="19">
        <f t="shared" si="11"/>
        <v>2.8183673469387753</v>
      </c>
      <c r="K149" s="20">
        <f t="shared" si="12"/>
        <v>72.684210526315795</v>
      </c>
      <c r="L149" s="21">
        <f t="shared" si="13"/>
        <v>1.169442433019551</v>
      </c>
      <c r="M149" s="7">
        <v>1615</v>
      </c>
      <c r="N149" s="7" t="str">
        <f t="shared" si="14"/>
        <v>August</v>
      </c>
      <c r="O149" s="8"/>
    </row>
    <row r="150" spans="1:15" x14ac:dyDescent="0.5">
      <c r="A150" s="22">
        <v>45541</v>
      </c>
      <c r="B150" s="7" t="s">
        <v>129</v>
      </c>
      <c r="C150" s="7" t="s">
        <v>58</v>
      </c>
      <c r="D150" s="7" t="s">
        <v>17</v>
      </c>
      <c r="E150" s="7">
        <v>49138</v>
      </c>
      <c r="F150" s="7">
        <v>853</v>
      </c>
      <c r="G150" s="7">
        <v>25</v>
      </c>
      <c r="H150" s="7">
        <v>236</v>
      </c>
      <c r="I150" s="18">
        <f t="shared" si="10"/>
        <v>1.7359273881720868E-2</v>
      </c>
      <c r="J150" s="19">
        <f t="shared" si="11"/>
        <v>0.27667057444314186</v>
      </c>
      <c r="K150" s="20">
        <f t="shared" si="12"/>
        <v>9.44</v>
      </c>
      <c r="L150" s="21">
        <f t="shared" si="13"/>
        <v>14.300847457627119</v>
      </c>
      <c r="M150" s="7">
        <v>3375</v>
      </c>
      <c r="N150" s="7" t="str">
        <f t="shared" si="14"/>
        <v>September</v>
      </c>
      <c r="O150" s="8"/>
    </row>
    <row r="151" spans="1:15" x14ac:dyDescent="0.5">
      <c r="A151" s="22">
        <v>45571</v>
      </c>
      <c r="B151" s="7" t="s">
        <v>61</v>
      </c>
      <c r="C151" s="7" t="s">
        <v>58</v>
      </c>
      <c r="D151" s="7" t="s">
        <v>17</v>
      </c>
      <c r="E151" s="7">
        <v>40976</v>
      </c>
      <c r="F151" s="7">
        <v>1463</v>
      </c>
      <c r="G151" s="7">
        <v>72</v>
      </c>
      <c r="H151" s="7">
        <v>325</v>
      </c>
      <c r="I151" s="18">
        <f t="shared" si="10"/>
        <v>3.570382663022257E-2</v>
      </c>
      <c r="J151" s="19">
        <f t="shared" si="11"/>
        <v>0.22214627477785373</v>
      </c>
      <c r="K151" s="20">
        <f t="shared" si="12"/>
        <v>4.5138888888888893</v>
      </c>
      <c r="L151" s="21">
        <f t="shared" si="13"/>
        <v>31.236923076923077</v>
      </c>
      <c r="M151" s="7">
        <v>10152</v>
      </c>
      <c r="N151" s="7" t="str">
        <f t="shared" si="14"/>
        <v>October</v>
      </c>
      <c r="O151" s="8"/>
    </row>
    <row r="152" spans="1:15" x14ac:dyDescent="0.5">
      <c r="A152" s="22">
        <v>45632</v>
      </c>
      <c r="B152" s="7" t="s">
        <v>127</v>
      </c>
      <c r="C152" s="7" t="s">
        <v>58</v>
      </c>
      <c r="D152" s="7" t="s">
        <v>17</v>
      </c>
      <c r="E152" s="7">
        <v>6702</v>
      </c>
      <c r="F152" s="7">
        <v>1049</v>
      </c>
      <c r="G152" s="7">
        <v>67</v>
      </c>
      <c r="H152" s="7">
        <v>202</v>
      </c>
      <c r="I152" s="18">
        <f t="shared" si="10"/>
        <v>0.1565204416592062</v>
      </c>
      <c r="J152" s="19">
        <f t="shared" si="11"/>
        <v>0.19256434699714015</v>
      </c>
      <c r="K152" s="20">
        <f t="shared" si="12"/>
        <v>3.0149253731343282</v>
      </c>
      <c r="L152" s="21">
        <f t="shared" si="13"/>
        <v>29.188118811881189</v>
      </c>
      <c r="M152" s="7">
        <v>5896</v>
      </c>
      <c r="N152" s="7" t="str">
        <f t="shared" si="14"/>
        <v>December</v>
      </c>
      <c r="O152" s="8"/>
    </row>
    <row r="153" spans="1:15" x14ac:dyDescent="0.5">
      <c r="A153" s="22">
        <v>45297</v>
      </c>
      <c r="B153" s="7" t="s">
        <v>130</v>
      </c>
      <c r="C153" s="7" t="s">
        <v>58</v>
      </c>
      <c r="D153" s="7" t="s">
        <v>17</v>
      </c>
      <c r="E153" s="7">
        <v>29191</v>
      </c>
      <c r="F153" s="7">
        <v>272</v>
      </c>
      <c r="G153" s="7">
        <v>21</v>
      </c>
      <c r="H153" s="7">
        <v>633</v>
      </c>
      <c r="I153" s="18">
        <f t="shared" si="10"/>
        <v>9.3179404611010239E-3</v>
      </c>
      <c r="J153" s="19">
        <f t="shared" si="11"/>
        <v>2.3272058823529411</v>
      </c>
      <c r="K153" s="20">
        <f t="shared" si="12"/>
        <v>30.142857142857142</v>
      </c>
      <c r="L153" s="21">
        <f t="shared" si="13"/>
        <v>3.6492890995260665</v>
      </c>
      <c r="M153" s="7">
        <v>2310</v>
      </c>
      <c r="N153" s="7" t="str">
        <f t="shared" si="14"/>
        <v>January</v>
      </c>
      <c r="O153" s="8"/>
    </row>
    <row r="154" spans="1:15" x14ac:dyDescent="0.5">
      <c r="A154" s="22">
        <v>45328</v>
      </c>
      <c r="B154" s="7" t="s">
        <v>139</v>
      </c>
      <c r="C154" s="7" t="s">
        <v>58</v>
      </c>
      <c r="D154" s="7" t="s">
        <v>17</v>
      </c>
      <c r="E154" s="7">
        <v>30881</v>
      </c>
      <c r="F154" s="7">
        <v>1225</v>
      </c>
      <c r="G154" s="7">
        <v>97</v>
      </c>
      <c r="H154" s="7">
        <v>840</v>
      </c>
      <c r="I154" s="18">
        <f t="shared" si="10"/>
        <v>3.9668404520578994E-2</v>
      </c>
      <c r="J154" s="19">
        <f t="shared" si="11"/>
        <v>0.68571428571428572</v>
      </c>
      <c r="K154" s="20">
        <f t="shared" si="12"/>
        <v>8.6597938144329891</v>
      </c>
      <c r="L154" s="21">
        <f t="shared" si="13"/>
        <v>12.471428571428572</v>
      </c>
      <c r="M154" s="7">
        <v>10476</v>
      </c>
      <c r="N154" s="7" t="str">
        <f t="shared" si="14"/>
        <v>February</v>
      </c>
      <c r="O154" s="8"/>
    </row>
    <row r="155" spans="1:15" x14ac:dyDescent="0.5">
      <c r="A155" s="22">
        <v>45357</v>
      </c>
      <c r="B155" s="7" t="s">
        <v>71</v>
      </c>
      <c r="C155" s="7" t="s">
        <v>55</v>
      </c>
      <c r="D155" s="7" t="s">
        <v>56</v>
      </c>
      <c r="E155" s="7">
        <v>39688</v>
      </c>
      <c r="F155" s="7">
        <v>381</v>
      </c>
      <c r="G155" s="7">
        <v>32</v>
      </c>
      <c r="H155" s="7">
        <v>476</v>
      </c>
      <c r="I155" s="18">
        <f t="shared" si="10"/>
        <v>9.5998790566418062E-3</v>
      </c>
      <c r="J155" s="19">
        <f t="shared" si="11"/>
        <v>1.2493438320209973</v>
      </c>
      <c r="K155" s="20">
        <f t="shared" si="12"/>
        <v>14.875</v>
      </c>
      <c r="L155" s="21">
        <f t="shared" si="13"/>
        <v>5.848739495798319</v>
      </c>
      <c r="M155" s="7">
        <v>2784</v>
      </c>
      <c r="N155" s="7" t="str">
        <f t="shared" si="14"/>
        <v>March</v>
      </c>
      <c r="O155" s="8"/>
    </row>
    <row r="156" spans="1:15" x14ac:dyDescent="0.5">
      <c r="A156" s="22">
        <v>45388</v>
      </c>
      <c r="B156" s="7" t="s">
        <v>141</v>
      </c>
      <c r="C156" s="7" t="s">
        <v>52</v>
      </c>
      <c r="D156" s="7" t="s">
        <v>53</v>
      </c>
      <c r="E156" s="7">
        <v>22615</v>
      </c>
      <c r="F156" s="7">
        <v>771</v>
      </c>
      <c r="G156" s="7">
        <v>79</v>
      </c>
      <c r="H156" s="7">
        <v>503</v>
      </c>
      <c r="I156" s="18">
        <f t="shared" si="10"/>
        <v>3.4092416537696221E-2</v>
      </c>
      <c r="J156" s="19">
        <f t="shared" si="11"/>
        <v>0.65239948119325553</v>
      </c>
      <c r="K156" s="20">
        <f t="shared" si="12"/>
        <v>6.3670886075949369</v>
      </c>
      <c r="L156" s="21">
        <f t="shared" si="13"/>
        <v>14.449304174950298</v>
      </c>
      <c r="M156" s="7">
        <v>7268</v>
      </c>
      <c r="N156" s="7" t="str">
        <f t="shared" si="14"/>
        <v>April</v>
      </c>
      <c r="O156" s="8"/>
    </row>
    <row r="157" spans="1:15" x14ac:dyDescent="0.5">
      <c r="A157" s="22">
        <v>45449</v>
      </c>
      <c r="B157" s="7" t="s">
        <v>54</v>
      </c>
      <c r="C157" s="7" t="s">
        <v>55</v>
      </c>
      <c r="D157" s="7" t="s">
        <v>56</v>
      </c>
      <c r="E157" s="7">
        <v>23257</v>
      </c>
      <c r="F157" s="7">
        <v>1451</v>
      </c>
      <c r="G157" s="7">
        <v>27</v>
      </c>
      <c r="H157" s="7">
        <v>629</v>
      </c>
      <c r="I157" s="18">
        <f t="shared" si="10"/>
        <v>6.2389818119275915E-2</v>
      </c>
      <c r="J157" s="19">
        <f t="shared" si="11"/>
        <v>0.43349414197105446</v>
      </c>
      <c r="K157" s="20">
        <f t="shared" si="12"/>
        <v>23.296296296296298</v>
      </c>
      <c r="L157" s="21">
        <f t="shared" si="13"/>
        <v>3.9491255961844196</v>
      </c>
      <c r="M157" s="7">
        <v>2484</v>
      </c>
      <c r="N157" s="7" t="str">
        <f t="shared" si="14"/>
        <v>June</v>
      </c>
      <c r="O157" s="8"/>
    </row>
    <row r="158" spans="1:15" x14ac:dyDescent="0.5">
      <c r="A158" s="22">
        <v>45479</v>
      </c>
      <c r="B158" s="7" t="s">
        <v>80</v>
      </c>
      <c r="C158" s="7" t="s">
        <v>58</v>
      </c>
      <c r="D158" s="7" t="s">
        <v>17</v>
      </c>
      <c r="E158" s="7">
        <v>29147</v>
      </c>
      <c r="F158" s="7">
        <v>1954</v>
      </c>
      <c r="G158" s="7">
        <v>35</v>
      </c>
      <c r="H158" s="7">
        <v>1017</v>
      </c>
      <c r="I158" s="18">
        <f t="shared" si="10"/>
        <v>6.7039489484338008E-2</v>
      </c>
      <c r="J158" s="19">
        <f t="shared" si="11"/>
        <v>0.52047082906857722</v>
      </c>
      <c r="K158" s="20">
        <f t="shared" si="12"/>
        <v>29.057142857142857</v>
      </c>
      <c r="L158" s="21">
        <f t="shared" si="13"/>
        <v>4.4739429695181911</v>
      </c>
      <c r="M158" s="7">
        <v>4550</v>
      </c>
      <c r="N158" s="7" t="str">
        <f t="shared" si="14"/>
        <v>July</v>
      </c>
      <c r="O158" s="8"/>
    </row>
    <row r="159" spans="1:15" x14ac:dyDescent="0.5">
      <c r="A159" s="22">
        <v>45510</v>
      </c>
      <c r="B159" s="7" t="s">
        <v>77</v>
      </c>
      <c r="C159" s="7" t="s">
        <v>58</v>
      </c>
      <c r="D159" s="7" t="s">
        <v>17</v>
      </c>
      <c r="E159" s="7">
        <v>49767</v>
      </c>
      <c r="F159" s="7">
        <v>1795</v>
      </c>
      <c r="G159" s="7">
        <v>40</v>
      </c>
      <c r="H159" s="7">
        <v>1175</v>
      </c>
      <c r="I159" s="18">
        <f t="shared" si="10"/>
        <v>3.6068077239938115E-2</v>
      </c>
      <c r="J159" s="19">
        <f t="shared" si="11"/>
        <v>0.65459610027855153</v>
      </c>
      <c r="K159" s="20">
        <f t="shared" si="12"/>
        <v>29.375</v>
      </c>
      <c r="L159" s="21">
        <f t="shared" si="13"/>
        <v>4.493617021276596</v>
      </c>
      <c r="M159" s="7">
        <v>5280</v>
      </c>
      <c r="N159" s="7" t="str">
        <f t="shared" si="14"/>
        <v>August</v>
      </c>
      <c r="O159" s="8"/>
    </row>
    <row r="160" spans="1:15" x14ac:dyDescent="0.5">
      <c r="A160" s="22">
        <v>45541</v>
      </c>
      <c r="B160" s="7" t="s">
        <v>142</v>
      </c>
      <c r="C160" s="7" t="s">
        <v>55</v>
      </c>
      <c r="D160" s="7" t="s">
        <v>56</v>
      </c>
      <c r="E160" s="7">
        <v>14252</v>
      </c>
      <c r="F160" s="7">
        <v>646</v>
      </c>
      <c r="G160" s="7">
        <v>93</v>
      </c>
      <c r="H160" s="7">
        <v>467</v>
      </c>
      <c r="I160" s="18">
        <f t="shared" si="10"/>
        <v>4.5326971653101317E-2</v>
      </c>
      <c r="J160" s="19">
        <f t="shared" si="11"/>
        <v>0.72291021671826627</v>
      </c>
      <c r="K160" s="20">
        <f t="shared" si="12"/>
        <v>5.021505376344086</v>
      </c>
      <c r="L160" s="21">
        <f t="shared" si="13"/>
        <v>27.880085653104924</v>
      </c>
      <c r="M160" s="7">
        <v>13020</v>
      </c>
      <c r="N160" s="7" t="str">
        <f t="shared" si="14"/>
        <v>September</v>
      </c>
      <c r="O160" s="8"/>
    </row>
    <row r="161" spans="1:15" x14ac:dyDescent="0.5">
      <c r="A161" s="22">
        <v>45571</v>
      </c>
      <c r="B161" s="7" t="s">
        <v>143</v>
      </c>
      <c r="C161" s="7" t="s">
        <v>58</v>
      </c>
      <c r="D161" s="7" t="s">
        <v>17</v>
      </c>
      <c r="E161" s="7">
        <v>38313</v>
      </c>
      <c r="F161" s="7">
        <v>1579</v>
      </c>
      <c r="G161" s="7">
        <v>62</v>
      </c>
      <c r="H161" s="7">
        <v>702</v>
      </c>
      <c r="I161" s="18">
        <f t="shared" si="10"/>
        <v>4.1213165244172997E-2</v>
      </c>
      <c r="J161" s="19">
        <f t="shared" si="11"/>
        <v>0.44458518049398354</v>
      </c>
      <c r="K161" s="20">
        <f t="shared" si="12"/>
        <v>11.32258064516129</v>
      </c>
      <c r="L161" s="21">
        <f t="shared" si="13"/>
        <v>8.3903133903133895</v>
      </c>
      <c r="M161" s="7">
        <v>5890</v>
      </c>
      <c r="N161" s="7" t="str">
        <f t="shared" si="14"/>
        <v>October</v>
      </c>
      <c r="O161" s="8"/>
    </row>
    <row r="162" spans="1:15" x14ac:dyDescent="0.5">
      <c r="A162" s="22">
        <v>45632</v>
      </c>
      <c r="B162" s="7" t="s">
        <v>61</v>
      </c>
      <c r="C162" s="7" t="s">
        <v>58</v>
      </c>
      <c r="D162" s="7" t="s">
        <v>17</v>
      </c>
      <c r="E162" s="7">
        <v>15205</v>
      </c>
      <c r="F162" s="7">
        <v>1873</v>
      </c>
      <c r="G162" s="7">
        <v>65</v>
      </c>
      <c r="H162" s="7">
        <v>1403</v>
      </c>
      <c r="I162" s="18">
        <f t="shared" si="10"/>
        <v>0.12318316343308122</v>
      </c>
      <c r="J162" s="19">
        <f t="shared" si="11"/>
        <v>0.74906567004805125</v>
      </c>
      <c r="K162" s="20">
        <f t="shared" si="12"/>
        <v>21.584615384615386</v>
      </c>
      <c r="L162" s="21">
        <f t="shared" si="13"/>
        <v>3.9379900213827512</v>
      </c>
      <c r="M162" s="7">
        <v>5525</v>
      </c>
      <c r="N162" s="7" t="str">
        <f t="shared" si="14"/>
        <v>December</v>
      </c>
      <c r="O162" s="8"/>
    </row>
    <row r="163" spans="1:15" x14ac:dyDescent="0.5">
      <c r="A163" s="22">
        <v>45297</v>
      </c>
      <c r="B163" s="7" t="s">
        <v>79</v>
      </c>
      <c r="C163" s="7" t="s">
        <v>55</v>
      </c>
      <c r="D163" s="7" t="s">
        <v>56</v>
      </c>
      <c r="E163" s="7">
        <v>31316</v>
      </c>
      <c r="F163" s="7">
        <v>421</v>
      </c>
      <c r="G163" s="7">
        <v>91</v>
      </c>
      <c r="H163" s="7">
        <v>1423</v>
      </c>
      <c r="I163" s="18">
        <f t="shared" si="10"/>
        <v>1.3443607101800996E-2</v>
      </c>
      <c r="J163" s="19">
        <f t="shared" si="11"/>
        <v>3.3800475059382422</v>
      </c>
      <c r="K163" s="20">
        <f t="shared" si="12"/>
        <v>15.637362637362637</v>
      </c>
      <c r="L163" s="21">
        <f t="shared" si="13"/>
        <v>5.3717498243148274</v>
      </c>
      <c r="M163" s="7">
        <v>7644</v>
      </c>
      <c r="N163" s="7" t="str">
        <f t="shared" si="14"/>
        <v>January</v>
      </c>
      <c r="O163" s="8"/>
    </row>
    <row r="164" spans="1:15" x14ac:dyDescent="0.5">
      <c r="A164" s="22">
        <v>45328</v>
      </c>
      <c r="B164" s="7" t="s">
        <v>125</v>
      </c>
      <c r="C164" s="7" t="s">
        <v>55</v>
      </c>
      <c r="D164" s="7" t="s">
        <v>56</v>
      </c>
      <c r="E164" s="7">
        <v>21936</v>
      </c>
      <c r="F164" s="7">
        <v>1775</v>
      </c>
      <c r="G164" s="7">
        <v>87</v>
      </c>
      <c r="H164" s="7">
        <v>1380</v>
      </c>
      <c r="I164" s="18">
        <f t="shared" si="10"/>
        <v>8.0917213712618521E-2</v>
      </c>
      <c r="J164" s="19">
        <f t="shared" si="11"/>
        <v>0.77746478873239433</v>
      </c>
      <c r="K164" s="20">
        <f t="shared" si="12"/>
        <v>15.862068965517242</v>
      </c>
      <c r="L164" s="21">
        <f t="shared" si="13"/>
        <v>4.9173913043478263</v>
      </c>
      <c r="M164" s="7">
        <v>6786</v>
      </c>
      <c r="N164" s="7" t="str">
        <f t="shared" si="14"/>
        <v>February</v>
      </c>
      <c r="O164" s="8"/>
    </row>
    <row r="165" spans="1:15" x14ac:dyDescent="0.5">
      <c r="A165" s="22">
        <v>45357</v>
      </c>
      <c r="B165" s="7" t="s">
        <v>63</v>
      </c>
      <c r="C165" s="7" t="s">
        <v>58</v>
      </c>
      <c r="D165" s="7" t="s">
        <v>17</v>
      </c>
      <c r="E165" s="7">
        <v>24747</v>
      </c>
      <c r="F165" s="7">
        <v>420</v>
      </c>
      <c r="G165" s="7">
        <v>82</v>
      </c>
      <c r="H165" s="7">
        <v>686</v>
      </c>
      <c r="I165" s="18">
        <f t="shared" si="10"/>
        <v>1.6971754152018428E-2</v>
      </c>
      <c r="J165" s="19">
        <f t="shared" si="11"/>
        <v>1.6333333333333333</v>
      </c>
      <c r="K165" s="20">
        <f t="shared" si="12"/>
        <v>8.3658536585365848</v>
      </c>
      <c r="L165" s="21">
        <f t="shared" si="13"/>
        <v>10.758017492711371</v>
      </c>
      <c r="M165" s="7">
        <v>7380</v>
      </c>
      <c r="N165" s="7" t="str">
        <f t="shared" si="14"/>
        <v>March</v>
      </c>
      <c r="O165" s="8"/>
    </row>
    <row r="166" spans="1:15" x14ac:dyDescent="0.5">
      <c r="A166" s="22">
        <v>45388</v>
      </c>
      <c r="B166" s="7" t="s">
        <v>84</v>
      </c>
      <c r="C166" s="7" t="s">
        <v>58</v>
      </c>
      <c r="D166" s="7" t="s">
        <v>17</v>
      </c>
      <c r="E166" s="7">
        <v>40457</v>
      </c>
      <c r="F166" s="7">
        <v>1831</v>
      </c>
      <c r="G166" s="7">
        <v>61</v>
      </c>
      <c r="H166" s="7">
        <v>1272</v>
      </c>
      <c r="I166" s="18">
        <f t="shared" si="10"/>
        <v>4.5257928170650323E-2</v>
      </c>
      <c r="J166" s="19">
        <f t="shared" si="11"/>
        <v>0.69470234844347356</v>
      </c>
      <c r="K166" s="20">
        <f t="shared" si="12"/>
        <v>20.852459016393443</v>
      </c>
      <c r="L166" s="21">
        <f t="shared" si="13"/>
        <v>5.9465408805031448</v>
      </c>
      <c r="M166" s="7">
        <v>7564</v>
      </c>
      <c r="N166" s="7" t="str">
        <f t="shared" si="14"/>
        <v>April</v>
      </c>
      <c r="O166" s="8"/>
    </row>
    <row r="167" spans="1:15" x14ac:dyDescent="0.5">
      <c r="A167" s="22">
        <v>45449</v>
      </c>
      <c r="B167" s="7" t="s">
        <v>101</v>
      </c>
      <c r="C167" s="7" t="s">
        <v>58</v>
      </c>
      <c r="D167" s="7" t="s">
        <v>17</v>
      </c>
      <c r="E167" s="7">
        <v>47991</v>
      </c>
      <c r="F167" s="7">
        <v>484</v>
      </c>
      <c r="G167" s="7">
        <v>95</v>
      </c>
      <c r="H167" s="7">
        <v>1123</v>
      </c>
      <c r="I167" s="18">
        <f t="shared" si="10"/>
        <v>1.0085224312892001E-2</v>
      </c>
      <c r="J167" s="19">
        <f t="shared" si="11"/>
        <v>2.3202479338842976</v>
      </c>
      <c r="K167" s="20">
        <f t="shared" si="12"/>
        <v>11.821052631578947</v>
      </c>
      <c r="L167" s="21">
        <f t="shared" si="13"/>
        <v>11.589492430988424</v>
      </c>
      <c r="M167" s="7">
        <v>13015</v>
      </c>
      <c r="N167" s="7" t="str">
        <f t="shared" si="14"/>
        <v>June</v>
      </c>
      <c r="O167" s="8"/>
    </row>
    <row r="168" spans="1:15" x14ac:dyDescent="0.5">
      <c r="A168" s="22">
        <v>45479</v>
      </c>
      <c r="B168" s="7" t="s">
        <v>82</v>
      </c>
      <c r="C168" s="7" t="s">
        <v>55</v>
      </c>
      <c r="D168" s="7" t="s">
        <v>56</v>
      </c>
      <c r="E168" s="7">
        <v>48292</v>
      </c>
      <c r="F168" s="7">
        <v>1333</v>
      </c>
      <c r="G168" s="7">
        <v>28</v>
      </c>
      <c r="H168" s="7">
        <v>1204</v>
      </c>
      <c r="I168" s="18">
        <f t="shared" si="10"/>
        <v>2.7602915596786216E-2</v>
      </c>
      <c r="J168" s="19">
        <f t="shared" si="11"/>
        <v>0.90322580645161288</v>
      </c>
      <c r="K168" s="20">
        <f t="shared" si="12"/>
        <v>43</v>
      </c>
      <c r="L168" s="21">
        <f t="shared" si="13"/>
        <v>3.3953488372093021</v>
      </c>
      <c r="M168" s="7">
        <v>4088</v>
      </c>
      <c r="N168" s="7" t="str">
        <f t="shared" si="14"/>
        <v>July</v>
      </c>
      <c r="O168" s="8"/>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634C6-61EE-422A-9466-79B8B23A80D6}">
  <dimension ref="A3:B9"/>
  <sheetViews>
    <sheetView workbookViewId="0">
      <selection activeCell="B6" sqref="B6"/>
    </sheetView>
  </sheetViews>
  <sheetFormatPr defaultRowHeight="18" x14ac:dyDescent="0.5"/>
  <cols>
    <col min="1" max="1" width="13.77734375" customWidth="1"/>
    <col min="2" max="2" width="12.33203125" customWidth="1"/>
  </cols>
  <sheetData>
    <row r="3" spans="1:2" x14ac:dyDescent="0.5">
      <c r="A3" s="2" t="s">
        <v>144</v>
      </c>
      <c r="B3" t="s">
        <v>146</v>
      </c>
    </row>
    <row r="4" spans="1:2" x14ac:dyDescent="0.5">
      <c r="A4" s="3" t="s">
        <v>135</v>
      </c>
      <c r="B4">
        <v>1477</v>
      </c>
    </row>
    <row r="5" spans="1:2" x14ac:dyDescent="0.5">
      <c r="A5" s="3" t="s">
        <v>58</v>
      </c>
      <c r="B5">
        <v>80512</v>
      </c>
    </row>
    <row r="6" spans="1:2" x14ac:dyDescent="0.5">
      <c r="A6" s="3" t="s">
        <v>14</v>
      </c>
      <c r="B6">
        <v>7395</v>
      </c>
    </row>
    <row r="7" spans="1:2" x14ac:dyDescent="0.5">
      <c r="A7" s="3" t="s">
        <v>55</v>
      </c>
      <c r="B7">
        <v>35602</v>
      </c>
    </row>
    <row r="8" spans="1:2" x14ac:dyDescent="0.5">
      <c r="A8" s="3" t="s">
        <v>52</v>
      </c>
      <c r="B8">
        <v>12790</v>
      </c>
    </row>
    <row r="9" spans="1:2" x14ac:dyDescent="0.5">
      <c r="A9" s="3" t="s">
        <v>145</v>
      </c>
      <c r="B9">
        <v>137776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C9D98-F42F-4D94-AD97-383581F0C74B}">
  <dimension ref="A3:B9"/>
  <sheetViews>
    <sheetView tabSelected="1" workbookViewId="0">
      <selection activeCell="B6" sqref="A3:B9"/>
    </sheetView>
  </sheetViews>
  <sheetFormatPr defaultRowHeight="18" x14ac:dyDescent="0.5"/>
  <cols>
    <col min="1" max="1" width="13.77734375" customWidth="1"/>
    <col min="2" max="2" width="11.6640625" customWidth="1"/>
  </cols>
  <sheetData>
    <row r="3" spans="1:2" x14ac:dyDescent="0.5">
      <c r="A3" s="2" t="s">
        <v>144</v>
      </c>
      <c r="B3" t="s">
        <v>148</v>
      </c>
    </row>
    <row r="4" spans="1:2" x14ac:dyDescent="0.5">
      <c r="A4" s="3" t="s">
        <v>135</v>
      </c>
      <c r="B4" s="4">
        <v>6.6885578876100205</v>
      </c>
    </row>
    <row r="5" spans="1:2" x14ac:dyDescent="0.5">
      <c r="A5" s="3" t="s">
        <v>58</v>
      </c>
      <c r="B5" s="4">
        <v>997.98326229228223</v>
      </c>
    </row>
    <row r="6" spans="1:2" x14ac:dyDescent="0.5">
      <c r="A6" s="3" t="s">
        <v>14</v>
      </c>
      <c r="B6" s="4">
        <v>106.05387616142256</v>
      </c>
    </row>
    <row r="7" spans="1:2" x14ac:dyDescent="0.5">
      <c r="A7" s="3" t="s">
        <v>55</v>
      </c>
      <c r="B7" s="4">
        <v>492.18266593870425</v>
      </c>
    </row>
    <row r="8" spans="1:2" x14ac:dyDescent="0.5">
      <c r="A8" s="3" t="s">
        <v>52</v>
      </c>
      <c r="B8" s="4">
        <v>117.16322065527899</v>
      </c>
    </row>
    <row r="9" spans="1:2" x14ac:dyDescent="0.5">
      <c r="A9" s="3" t="s">
        <v>145</v>
      </c>
      <c r="B9" s="4">
        <v>1720.0715829352982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A8DF8-430B-40B8-85B1-0BBCDA590306}">
  <dimension ref="A3:B16"/>
  <sheetViews>
    <sheetView workbookViewId="0">
      <selection activeCell="C21" sqref="C21"/>
    </sheetView>
  </sheetViews>
  <sheetFormatPr defaultRowHeight="18" x14ac:dyDescent="0.5"/>
  <cols>
    <col min="1" max="1" width="12.44140625" customWidth="1"/>
    <col min="2" max="2" width="14.109375" customWidth="1"/>
  </cols>
  <sheetData>
    <row r="3" spans="1:2" x14ac:dyDescent="0.5">
      <c r="A3" s="2" t="s">
        <v>144</v>
      </c>
      <c r="B3" t="s">
        <v>147</v>
      </c>
    </row>
    <row r="4" spans="1:2" x14ac:dyDescent="0.5">
      <c r="A4" s="3" t="s">
        <v>150</v>
      </c>
      <c r="B4">
        <v>78525</v>
      </c>
    </row>
    <row r="5" spans="1:2" x14ac:dyDescent="0.5">
      <c r="A5" s="3" t="s">
        <v>151</v>
      </c>
      <c r="B5">
        <v>88366</v>
      </c>
    </row>
    <row r="6" spans="1:2" x14ac:dyDescent="0.5">
      <c r="A6" s="3" t="s">
        <v>152</v>
      </c>
      <c r="B6">
        <v>88318</v>
      </c>
    </row>
    <row r="7" spans="1:2" x14ac:dyDescent="0.5">
      <c r="A7" s="3" t="s">
        <v>153</v>
      </c>
      <c r="B7">
        <v>107521</v>
      </c>
    </row>
    <row r="8" spans="1:2" x14ac:dyDescent="0.5">
      <c r="A8" s="3" t="s">
        <v>154</v>
      </c>
      <c r="B8">
        <v>33600</v>
      </c>
    </row>
    <row r="9" spans="1:2" x14ac:dyDescent="0.5">
      <c r="A9" s="3" t="s">
        <v>155</v>
      </c>
      <c r="B9">
        <v>106116</v>
      </c>
    </row>
    <row r="10" spans="1:2" x14ac:dyDescent="0.5">
      <c r="A10" s="3" t="s">
        <v>156</v>
      </c>
      <c r="B10">
        <v>109114</v>
      </c>
    </row>
    <row r="11" spans="1:2" x14ac:dyDescent="0.5">
      <c r="A11" s="3" t="s">
        <v>157</v>
      </c>
      <c r="B11">
        <v>101197</v>
      </c>
    </row>
    <row r="12" spans="1:2" x14ac:dyDescent="0.5">
      <c r="A12" s="3" t="s">
        <v>158</v>
      </c>
      <c r="B12">
        <v>67470</v>
      </c>
    </row>
    <row r="13" spans="1:2" x14ac:dyDescent="0.5">
      <c r="A13" s="3" t="s">
        <v>159</v>
      </c>
      <c r="B13">
        <v>110079</v>
      </c>
    </row>
    <row r="14" spans="1:2" x14ac:dyDescent="0.5">
      <c r="A14" s="3" t="s">
        <v>160</v>
      </c>
      <c r="B14">
        <v>80205</v>
      </c>
    </row>
    <row r="15" spans="1:2" x14ac:dyDescent="0.5">
      <c r="A15" s="3" t="s">
        <v>161</v>
      </c>
      <c r="B15">
        <v>87132</v>
      </c>
    </row>
    <row r="16" spans="1:2" x14ac:dyDescent="0.5">
      <c r="A16" s="3" t="s">
        <v>145</v>
      </c>
      <c r="B16">
        <v>1057643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Raw_Data</vt:lpstr>
      <vt:lpstr>Pie Chart</vt:lpstr>
      <vt:lpstr>Bar Chart</vt:lpstr>
      <vt:lpstr>Line Graph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Pannaga Kumar</dc:creator>
  <cp:lastModifiedBy>Pannaga Kumar</cp:lastModifiedBy>
  <dcterms:created xsi:type="dcterms:W3CDTF">2025-07-01T17:47:40Z</dcterms:created>
  <dcterms:modified xsi:type="dcterms:W3CDTF">2025-12-02T08:42:55Z</dcterms:modified>
</cp:coreProperties>
</file>